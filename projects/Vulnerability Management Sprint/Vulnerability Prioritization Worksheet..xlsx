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Findings" sheetId="1" r:id="rId4"/>
    <sheet state="visible" name="Summary" sheetId="2" r:id="rId5"/>
  </sheets>
  <definedNames/>
  <calcPr/>
  <extLst>
    <ext uri="GoogleSheetsCustomDataVersion2">
      <go:sheetsCustomData xmlns:go="http://customooxmlschemas.google.com/" r:id="rId6" roundtripDataChecksum="TmAEEKpRPB4+FdE+vfEfZKKju8Iw7MT5cOzmuK2c/NQ="/>
    </ext>
  </extLst>
</workbook>
</file>

<file path=xl/sharedStrings.xml><?xml version="1.0" encoding="utf-8"?>
<sst xmlns="http://schemas.openxmlformats.org/spreadsheetml/2006/main" count="7525" uniqueCount="1894">
  <si>
    <t>Finding (CVE)</t>
  </si>
  <si>
    <t>Package</t>
  </si>
  <si>
    <t>Agent</t>
  </si>
  <si>
    <t>Asset Criticality</t>
  </si>
  <si>
    <t>CVSS Score</t>
  </si>
  <si>
    <t>In CISA KEV?</t>
  </si>
  <si>
    <t>Priority Tier</t>
  </si>
  <si>
    <t>Description</t>
  </si>
  <si>
    <t>CVE-2026-33824</t>
  </si>
  <si>
    <t>Microsoft Windows 11 Pro 10.0.26200.8037</t>
  </si>
  <si>
    <t>Hayzed-Windows-VM</t>
  </si>
  <si>
    <t>High (domain-facing endpoint)</t>
  </si>
  <si>
    <t>9.0-10.0 (Critical)</t>
  </si>
  <si>
    <t>Yes</t>
  </si>
  <si>
    <t>Double free in Windows IKE Extension allows an unauthorized attacker to execute code over a network.</t>
  </si>
  <si>
    <t>Prioritization Summary (all findings, live count)</t>
  </si>
  <si>
    <t>CVE-2026-32202</t>
  </si>
  <si>
    <t>4.0-6.9 (Medium)</t>
  </si>
  <si>
    <t>Total findings scored</t>
  </si>
  <si>
    <t>Protection mechanism failure in Windows Shell allows an unauthorized attacker to perform spoofing over a network.</t>
  </si>
  <si>
    <t>CVE-2026-41096</t>
  </si>
  <si>
    <t>No</t>
  </si>
  <si>
    <t>Heap-based buffer overflow in Microsoft Windows DNS allows an unauthorized attacker to execute code over a network.</t>
  </si>
  <si>
    <t>CVE-2026-42904</t>
  </si>
  <si>
    <t>Heap-based buffer overflow in Windows TCP/IP allows an unauthorized attacker to elevate privileges over an adjacent network.</t>
  </si>
  <si>
    <t>CVE-2026-44815</t>
  </si>
  <si>
    <t>Stack-based buffer overflow in Windows DHCP Client allows an unauthorized attacker to execute code over a network.</t>
  </si>
  <si>
    <t>CVE-2026-45602</t>
  </si>
  <si>
    <t>No cwe for this issue in Windows DHCP Server allows an unauthorized attacker to perform tampering over a network.</t>
  </si>
  <si>
    <t>CVE-2026-45657</t>
  </si>
  <si>
    <t>Use after free in Windows Kernel allows an unauthorized attacker to execute code over a network.</t>
  </si>
  <si>
    <t>CVE-2026-47291</t>
  </si>
  <si>
    <t>Integer overflow or wraparound in Windows HTTP.sys allows an unauthorized attacker to execute code over a network.</t>
  </si>
  <si>
    <t>CVE-2026-10536</t>
  </si>
  <si>
    <t>libcurl4t64</t>
  </si>
  <si>
    <t>P1 - Immediate</t>
  </si>
  <si>
    <t>hayzed</t>
  </si>
  <si>
    <t>Medium (Linux internal server)</t>
  </si>
  <si>
    <t>A use-after-free vulnerability exists in libcurl when an applicationconfigures an HTTP/2 stream-dependency tree via `CURLOPT_STREAM_DEPENDS` or`CURLOPT_STREAM_DEPENDS_E`, subsequently invokes `curl_easy_reset()`, andfinally terminates the handle with `curl_easy_cleanup()`. During this finalcleanup phase, libcurl attempts to access and modify an internal structurethat was already deallocated during the reset operation.</t>
  </si>
  <si>
    <t>curl</t>
  </si>
  <si>
    <t>libcurl3t64-gnutls</t>
  </si>
  <si>
    <t>CVE-2026-11564</t>
  </si>
  <si>
    <t>P2 - This week (Critical/High)</t>
  </si>
  <si>
    <t>libcurl keeps previously used connections in a connection pool for subsequenttransfers to reuse if one of them matches the setup.An easy handle that first uses default native CA trust can continue trustingthe native platform store after the application switches that same handle tocustom CA material for a later transfer.</t>
  </si>
  <si>
    <t>CVE-2026-52914</t>
  </si>
  <si>
    <t>linux-image-7.0.0-29-generic</t>
  </si>
  <si>
    <t>P2 - This week (elevated: in KEV)</t>
  </si>
  <si>
    <t>In the Linux kernel, the following vulnerability has been resolved:batman-adv: fix fragment reassembly length accountingbatman-adv keeps a running payload length for queued fragments and uses itto validate a fragment chain before reassembly.That accounting currently allows the accumulated fragment length to betruncated during updates. As a result, malformed fragment chains canbypass the intended validation and drive reassembly with inconsistentlength state, leading to a local denial of service.Fix the accounting by storing the accumulated length in a length-typedfield and rejecting update overflows before the existing validation logicruns.The fix was verified against the original reproducer and against validfragment reassembly paths.</t>
  </si>
  <si>
    <t>CVE-2026-52931</t>
  </si>
  <si>
    <t>In the Linux kernel, the following vulnerability has been resolved:batman-adv: tp_meter: avoid use of uninit sender varsbatadv_tp_recv_ack() and batadv_tp_stop() are only valid for tp_vars in theBATADV_TP_SENDER role. When called with a BATADV_TP_RECEIVER role, itproceeds to read sender-only members that were never initialized, leadingto undefined behavior.This can be triggered when a node that is currently acting as a receiver inan ongoing tp_meter session receives a malicious ACK packet.Guard against this by checking tp_vars-&gt;role immediately after thelookup and bailing out if it is not BATADV_TP_SENDER, before any ofthose members are accessed.</t>
  </si>
  <si>
    <t>P3 - Backlog</t>
  </si>
  <si>
    <t>CVE-2026-52958</t>
  </si>
  <si>
    <t>In the Linux kernel, the following vulnerability has been resolved:libceph: Fix potential out-of-bounds access in osdmap_decode()When decoding osd_state and osd_weight from an incoming osdmap inosdmap_decode(), both are decoded for each osd, i.e., map-&gt;max_osdtimes. The ceph_decode_need() check only accounts forsizeof(*map-&gt;osd_weight) once. This can potentially result in anout-of-bounds memory access if the incoming message is corrupted suchthat the max_osd value exceeds the actual content of the osdmap message.This patch fixes the issue by changing the corresponding part in theceph_decode_need() check to account formap-&gt;max_osd*sizeof(*map-&gt;osd_weight).</t>
  </si>
  <si>
    <t>CVE-2026-52982</t>
  </si>
  <si>
    <t>Pending evaluation (not yet scored by feed)</t>
  </si>
  <si>
    <t>In the Linux kernel, the following vulnerability has been resolved:net: usb: rtl8150: fix use-after-free in rtl8150_start_xmit()syzbot reported a KASAN slab-use-after-free read in rtl8150_start_xmit()when accessing skb-&gt;len for tx statistics after usb_submit_urb() hasbeen called:  BUG: KASAN: slab-use-after-free in rtl8150_start_xmit+0x71f/0x760    drivers/net/usb/rtl8150.c:712  Read of size 4 at addr ffff88810eb7a930 by task kworker/0:4/5226The URB completion handler write_bulk_callback() frees the skb viadev_kfree_skb_irq(dev-&gt;tx_skb). The URB may complete on another CPUin softirq context before usb_submit_urb() returns in the submitter,so by the time the submitter reads skb-&gt;len the skb has already beenqueued to the per-CPU completion_queue and freed by net_tx_action():  CPU A (xmit)                      CPU B (USB completion softirq)  ------------                      ------------------------------  dev-&gt;tx_skb = skb;  usb_submit_urb()      --+                          |-------&gt; write_bulk_callback()                          |           dev_kfree_skb_irq(dev-&gt;tx_skb)                          |         net_tx_action()                          |           napi_skb_cache_put()   &lt;-- free  netdev-&gt;stats.tx_bytes  |    += skb-&gt;len;          &lt;-- UAF readFix it by caching skb-&gt;len before submitting the URB and using thecached value when updating the tx_bytes counter.The pre-existing tx_bytes semantics are preserved: the counter tracksthe original frame length (skb-&gt;len), not the ETH_ZLEN/USB-alignmentpadded "count" value that is handed to the device.  Changing thatwould be a user-visible accounting change and is out of scope forthis UAF fix.</t>
  </si>
  <si>
    <t>CVE-2026-20930</t>
  </si>
  <si>
    <t>7.0-8.9 (High)</t>
  </si>
  <si>
    <t>P1 Justification</t>
  </si>
  <si>
    <t>Concurrent execution using shared resource with improper synchronization ('race condition') in Windows Management Services allows an authorized attacker to elevate privileges locally.</t>
  </si>
  <si>
    <t>CVE-2026-25184</t>
  </si>
  <si>
    <t>Concurrent execution using shared resource with improper synchronization ('race condition') in Applocker Filter Driver (applockerfltr.sys) allows an authorized attacker to elevate privileges locally.</t>
  </si>
  <si>
    <t>Prioritized as P1 because it carries a Critical CVSS score, is confirmed in the CISA KEV catalog as actively exploited in the wild, and affects the domain-facing Windows endpoint, the highest criticality asset in this environment.</t>
  </si>
  <si>
    <t>CVE-2026-26151</t>
  </si>
  <si>
    <t>Insufficient ui warning of dangerous operations in Windows Remote Desktop allows an unauthorized attacker to perform spoofing over a network.</t>
  </si>
  <si>
    <t>CVE-2026-26152</t>
  </si>
  <si>
    <t>Note on the elevated P2 finding</t>
  </si>
  <si>
    <t>Insecure storage of sensitive information in Windows Cryptographic Services allows an authorized attacker to elevate privileges locally.</t>
  </si>
  <si>
    <t>CVE-2026-32202 (Medium severity, Windows Shell spoofing) is also confirmed in CISA KEV, meaning it is being actively exploited despite its lower CVSS band. It is not treated as P1 alongside CVE-2026-33824 because its severity and impact (spoofing) are materially lower than the Critical, remote-code-execution P1 finding, but it is pulled out of the standard backlog into this week's work given confirmed active exploitation.</t>
  </si>
  <si>
    <t>CVE-2026-26153</t>
  </si>
  <si>
    <t>Known false-positive pattern (within the P3 backlog)</t>
  </si>
  <si>
    <t>34 findings in the P3 backlog are pre-2021 CVEs (e.g. CVE-2017-13716, flagged 8 times) matched against currently supported Ubuntu 26.04 packages. This is a known false-positive pattern in NVD-based scanning: Ubuntu backports security fixes into its package builds without changing the upstream version string the scanner checks against. Flagged as likely false positives pending manual changelog verification, left in the P3 backlog rather than removed outright.</t>
  </si>
  <si>
    <t>Out-of-bounds read in Windows Encrypting File System (EFS) allows an authorized attacker to elevate privileges locally.</t>
  </si>
  <si>
    <t>CVE-2026-26156</t>
  </si>
  <si>
    <t>Heap-based buffer overflow in Windows Hyper-V allows an unauthorized attacker to execute code locally.</t>
  </si>
  <si>
    <t>CVE-2026-26159</t>
  </si>
  <si>
    <t>Missing authentication for critical function in Windows Remote Desktop Licensing Service allows an authorized attacker to elevate privileges locally.</t>
  </si>
  <si>
    <t>CVE-2026-26160</t>
  </si>
  <si>
    <t>CVE-2026-26161</t>
  </si>
  <si>
    <t>Untrusted pointer dereference in Windows Sensor Data Service allows an authorized attacker to elevate privileges locally.</t>
  </si>
  <si>
    <t>CVE-2026-26162</t>
  </si>
  <si>
    <t>Access of resource using incompatible type ('type confusion') in Windows OLE allows an authorized attacker to elevate privileges locally.</t>
  </si>
  <si>
    <t>CVE-2026-26163</t>
  </si>
  <si>
    <t>Double free in Windows Kernel allows an authorized attacker to elevate privileges locally.</t>
  </si>
  <si>
    <t>CVE-2026-26165</t>
  </si>
  <si>
    <t>Use after free in Windows Shell allows an authorized attacker to elevate privileges locally.</t>
  </si>
  <si>
    <t>CVE-2026-26166</t>
  </si>
  <si>
    <t>Double free in Windows Shell allows an authorized attacker to elevate privileges locally.</t>
  </si>
  <si>
    <t>CVE-2026-26167</t>
  </si>
  <si>
    <t>Concurrent execution using shared resource with improper synchronization ('race condition') in Windows Push Notifications allows an authorized attacker to elevate privileges locally.</t>
  </si>
  <si>
    <t>CVE-2026-26168</t>
  </si>
  <si>
    <t>Concurrent execution using shared resource with improper synchronization ('race condition') in Windows Ancillary Function Driver for WinSock allows an authorized attacker to elevate privileges locally.</t>
  </si>
  <si>
    <t>CVE-2026-26170</t>
  </si>
  <si>
    <t>Improper input validation in Microsoft PowerShell allows an authorized attacker to elevate privileges locally.</t>
  </si>
  <si>
    <t>CVE-2026-26172</t>
  </si>
  <si>
    <t>CVE-2026-26173</t>
  </si>
  <si>
    <t>CVE-2026-26174</t>
  </si>
  <si>
    <t>Concurrent execution using shared resource with improper synchronization ('race condition') in Windows Server Update Service allows an authorized attacker to elevate privileges locally.</t>
  </si>
  <si>
    <t>CVE-2026-26176</t>
  </si>
  <si>
    <t>Heap-based buffer overflow in Windows Client Side Caching driver (csc.sys) allows an authorized attacker to elevate privileges locally.</t>
  </si>
  <si>
    <t>CVE-2026-26177</t>
  </si>
  <si>
    <t>Use after free in Windows Ancillary Function Driver for WinSock allows an authorized attacker to elevate privileges locally.</t>
  </si>
  <si>
    <t>CVE-2026-26178</t>
  </si>
  <si>
    <t>Integer size truncation in Windows Advanced Rasterization Platform (WARP) allows an unauthorized attacker to elevate privileges locally.</t>
  </si>
  <si>
    <t>CVE-2026-26179</t>
  </si>
  <si>
    <t>CVE-2026-26180</t>
  </si>
  <si>
    <t>Heap-based buffer overflow in Windows Kernel allows an authorized attacker to elevate privileges locally.</t>
  </si>
  <si>
    <t>CVE-2026-26181</t>
  </si>
  <si>
    <t>Use after free in Microsoft Brokering File System allows an authorized attacker to elevate privileges locally.</t>
  </si>
  <si>
    <t>CVE-2026-26182</t>
  </si>
  <si>
    <t>CVE-2026-26184</t>
  </si>
  <si>
    <t>Buffer over-read in Windows Projected File System allows an authorized attacker to elevate privileges locally.</t>
  </si>
  <si>
    <t>CVE-2026-27907</t>
  </si>
  <si>
    <t>Integer underflow (wrap or wraparound) in Windows Storage Spaces Controller allows an authorized attacker to elevate privileges locally.</t>
  </si>
  <si>
    <t>CVE-2026-27908</t>
  </si>
  <si>
    <t>Use after free in Windows TDI Translation Driver (tdx.sys) allows an authorized attacker to elevate privileges locally.</t>
  </si>
  <si>
    <t>CVE-2026-27909</t>
  </si>
  <si>
    <t>Use after free in Microsoft Windows Search Component allows an authorized attacker to elevate privileges locally.</t>
  </si>
  <si>
    <t>CVE-2026-27910</t>
  </si>
  <si>
    <t>Improper handling of insufficient permissions or privileges in Windows Installer allows an authorized attacker to elevate privileges locally.</t>
  </si>
  <si>
    <t>CVE-2026-27911</t>
  </si>
  <si>
    <t>Concurrent execution using shared resource with improper synchronization ('race condition') in Windows User Interface Core allows an authorized attacker to elevate privileges locally.</t>
  </si>
  <si>
    <t>CVE-2026-27914</t>
  </si>
  <si>
    <t>Improper access control in Microsoft Management Console allows an authorized attacker to elevate privileges locally.</t>
  </si>
  <si>
    <t>CVE-2026-27915</t>
  </si>
  <si>
    <t>Use after free in Windows Universal Plug and Play (UPnP) Device Host allows an authorized attacker to elevate privileges locally.</t>
  </si>
  <si>
    <t>CVE-2026-27916</t>
  </si>
  <si>
    <t>CVE-2026-27917</t>
  </si>
  <si>
    <t>Use after free in Windows WFP NDIS Lightweight Filter Driver (wfplwfs.sys) allows an authorized attacker to elevate privileges locally.</t>
  </si>
  <si>
    <t>CVE-2026-27918</t>
  </si>
  <si>
    <t>Concurrent execution using shared resource with improper synchronization ('race condition') in Windows Shell allows an authorized attacker to elevate privileges locally.</t>
  </si>
  <si>
    <t>CVE-2026-27919</t>
  </si>
  <si>
    <t>Untrusted pointer dereference in Windows Universal Plug and Play (UPnP) Device Host allows an authorized attacker to elevate privileges locally.</t>
  </si>
  <si>
    <t>CVE-2026-27920</t>
  </si>
  <si>
    <t>CVE-2026-27921</t>
  </si>
  <si>
    <t>Concurrent execution using shared resource with improper synchronization ('race condition') in Windows TCP/IP allows an authorized attacker to elevate privileges locally.</t>
  </si>
  <si>
    <t>CVE-2026-27922</t>
  </si>
  <si>
    <t>CVE-2026-27923</t>
  </si>
  <si>
    <t>Use after free in Desktop Window Manager allows an authorized attacker to elevate privileges locally.</t>
  </si>
  <si>
    <t>CVE-2026-27926</t>
  </si>
  <si>
    <t>Concurrent execution using shared resource with improper synchronization ('race condition') in Windows Cloud Files Mini Filter Driver allows an authorized attacker to elevate privileges locally.</t>
  </si>
  <si>
    <t>CVE-2026-27927</t>
  </si>
  <si>
    <t>Concurrent execution using shared resource with improper synchronization ('race condition') in Windows Projected File System allows an authorized attacker to elevate privileges locally.</t>
  </si>
  <si>
    <t>CVE-2026-27929</t>
  </si>
  <si>
    <t>Time-of-check time-of-use (toctou) race condition in Windows LUAFV allows an authorized attacker to elevate privileges locally.</t>
  </si>
  <si>
    <t>CVE-2026-32068</t>
  </si>
  <si>
    <t>Concurrent execution using shared resource with improper synchronization ('race condition') in Windows SSDP Service allows an authorized attacker to elevate privileges locally.</t>
  </si>
  <si>
    <t>CVE-2026-32069</t>
  </si>
  <si>
    <t>Double free in Windows Projected File System allows an authorized attacker to elevate privileges locally.</t>
  </si>
  <si>
    <t>CVE-2026-32070</t>
  </si>
  <si>
    <t>Use after free in Windows Common Log File System Driver allows an authorized attacker to elevate privileges locally.</t>
  </si>
  <si>
    <t>CVE-2026-32071</t>
  </si>
  <si>
    <t>Null pointer dereference in Windows Local Security Authority Subsystem Service (LSASS) allows an unauthorized attacker to deny service over a network.</t>
  </si>
  <si>
    <t>CVE-2026-32073</t>
  </si>
  <si>
    <t>CVE-2026-32074</t>
  </si>
  <si>
    <t>CVE-2026-32075</t>
  </si>
  <si>
    <t>CVE-2026-32076</t>
  </si>
  <si>
    <t>Out-of-bounds read in Windows Storage Spaces Controller allows an authorized attacker to elevate privileges locally.</t>
  </si>
  <si>
    <t>CVE-2026-32077</t>
  </si>
  <si>
    <t>CVE-2026-32078</t>
  </si>
  <si>
    <t>Use after free in Windows Projected File System allows an authorized attacker to elevate privileges locally.</t>
  </si>
  <si>
    <t>CVE-2026-32082</t>
  </si>
  <si>
    <t>CVE-2026-32083</t>
  </si>
  <si>
    <t>CVE-2026-32086</t>
  </si>
  <si>
    <t>Concurrent execution using shared resource with improper synchronization ('race condition') in Function Discovery Service (fdwsd.dll) allows an authorized attacker to elevate privileges locally.</t>
  </si>
  <si>
    <t>CVE-2026-32087</t>
  </si>
  <si>
    <t>Heap-based buffer overflow in Function Discovery Service (fdwsd.dll) allows an authorized attacker to elevate privileges locally.</t>
  </si>
  <si>
    <t>CVE-2026-32089</t>
  </si>
  <si>
    <t>Use after free in Windows Speech Brokered Api allows an authorized attacker to elevate privileges locally.</t>
  </si>
  <si>
    <t>CVE-2026-32090</t>
  </si>
  <si>
    <t>Concurrent execution using shared resource with improper synchronization ('race condition') in Windows Speech Brokered Api allows an authorized attacker to elevate privileges locally.</t>
  </si>
  <si>
    <t>CVE-2026-32091</t>
  </si>
  <si>
    <t>Concurrent execution using shared resource with improper synchronization ('race condition') in Microsoft Brokering File System allows an unauthorized attacker to elevate privileges locally.</t>
  </si>
  <si>
    <t>CVE-2026-32093</t>
  </si>
  <si>
    <t>CVE-2026-32149</t>
  </si>
  <si>
    <t>Improper input validation in Windows Hyper-V allows an authorized attacker to execute code locally.</t>
  </si>
  <si>
    <t>CVE-2026-32150</t>
  </si>
  <si>
    <t>CVE-2026-32152</t>
  </si>
  <si>
    <t>CVE-2026-32153</t>
  </si>
  <si>
    <t>Use after free in Microsoft Windows Speech allows an authorized attacker to elevate privileges locally.</t>
  </si>
  <si>
    <t>CVE-2026-32154</t>
  </si>
  <si>
    <t>CVE-2026-32155</t>
  </si>
  <si>
    <t>CVE-2026-32156</t>
  </si>
  <si>
    <t>Use after free in Windows Universal Plug and Play (UPnP) Device Host allows an unauthorized attacker to execute code locally.</t>
  </si>
  <si>
    <t>CVE-2026-32157</t>
  </si>
  <si>
    <t>Use after free in Remote Desktop Client allows an unauthorized attacker to execute code over a network.</t>
  </si>
  <si>
    <t>CVE-2026-32158</t>
  </si>
  <si>
    <t>CVE-2026-32159</t>
  </si>
  <si>
    <t>CVE-2026-32160</t>
  </si>
  <si>
    <t>CVE-2026-32161</t>
  </si>
  <si>
    <t>Concurrent execution using shared resource with improper synchronization ('race condition') in Windows Native WiFi Miniport Driver allows an unauthorized attacker to execute code over an adjacent network.</t>
  </si>
  <si>
    <t>CVE-2026-32162</t>
  </si>
  <si>
    <t>Acceptance of extraneous untrusted data with trusted data in Windows COM allows an unauthorized attacker to elevate privileges locally.</t>
  </si>
  <si>
    <t>CVE-2026-32163</t>
  </si>
  <si>
    <t>CVE-2026-32164</t>
  </si>
  <si>
    <t>CVE-2026-32165</t>
  </si>
  <si>
    <t>Use after free in Windows User Interface Core allows an authorized attacker to elevate privileges locally.</t>
  </si>
  <si>
    <t>CVE-2026-32183</t>
  </si>
  <si>
    <t>Improper neutralization of special elements used in a command ('command injection') in Windows Snipping Tool allows an unauthorized attacker to execute code locally.</t>
  </si>
  <si>
    <t>CVE-2026-32219</t>
  </si>
  <si>
    <t>Double free in Microsoft Brokering File System allows an authorized attacker to elevate privileges locally.</t>
  </si>
  <si>
    <t>CVE-2026-32221</t>
  </si>
  <si>
    <t>Heap-based buffer overflow in Microsoft Graphics Component allows an unauthorized attacker to execute code locally.</t>
  </si>
  <si>
    <t>CVE-2026-32222</t>
  </si>
  <si>
    <t>Untrusted pointer dereference in Windows Win32K - ICOMP allows an authorized attacker to elevate privileges locally.</t>
  </si>
  <si>
    <t>CVE-2026-32225</t>
  </si>
  <si>
    <t>Protection mechanism failure in Windows Shell allows an unauthorized attacker to bypass a security feature over a network.</t>
  </si>
  <si>
    <t>CVE-2026-33096</t>
  </si>
  <si>
    <t>Out-of-bounds read in Windows HTTP.sys allows an unauthorized attacker to deny service over a network.</t>
  </si>
  <si>
    <t>CVE-2026-33098</t>
  </si>
  <si>
    <t>Use after free in Windows Container Isolation FS Filter Driver allows an authorized attacker to elevate privileges locally.</t>
  </si>
  <si>
    <t>CVE-2026-33099</t>
  </si>
  <si>
    <t>CVE-2026-33100</t>
  </si>
  <si>
    <t>CVE-2026-33101</t>
  </si>
  <si>
    <t>Use after free in Windows Print Spooler Components allows an authorized attacker to elevate privileges locally.</t>
  </si>
  <si>
    <t>CVE-2026-33104</t>
  </si>
  <si>
    <t>Concurrent execution using shared resource with improper synchronization ('race condition') in Windows Win32K - GRFX allows an authorized attacker to elevate privileges locally.</t>
  </si>
  <si>
    <t>CVE-2026-33827</t>
  </si>
  <si>
    <t>Concurrent execution using shared resource with improper synchronization ('race condition') in Windows TCP/IP allows an unauthorized attacker to execute code over a network.</t>
  </si>
  <si>
    <t>CVE-2026-33828</t>
  </si>
  <si>
    <t>Trust boundary violation in Windows Attestation allows an authorized attacker to elevate privileges locally.</t>
  </si>
  <si>
    <t>CVE-2026-33834</t>
  </si>
  <si>
    <t>Improper access control in Windows Event Logging Service allows an authorized attacker to elevate privileges locally.</t>
  </si>
  <si>
    <t>CVE-2026-33835</t>
  </si>
  <si>
    <t>Use after free in Windows Cloud Files Mini Filter Driver allows an authorized attacker to elevate privileges locally.</t>
  </si>
  <si>
    <t>CVE-2026-33837</t>
  </si>
  <si>
    <t>Heap-based buffer overflow in Windows TCP/IP allows an authorized attacker to elevate privileges locally.</t>
  </si>
  <si>
    <t>CVE-2026-33838</t>
  </si>
  <si>
    <t>Double free in Windows Message Queuing allows an authorized attacker to elevate privileges locally.</t>
  </si>
  <si>
    <t>CVE-2026-33839</t>
  </si>
  <si>
    <t>CVE-2026-33840</t>
  </si>
  <si>
    <t>Use after free in Windows Win32K - ICOMP allows an authorized attacker to elevate privileges locally.</t>
  </si>
  <si>
    <t>CVE-2026-33841</t>
  </si>
  <si>
    <t>CVE-2026-34329</t>
  </si>
  <si>
    <t>Heap-based buffer overflow in Windows Message Queuing allows an unauthorized attacker to execute code over an adjacent network.</t>
  </si>
  <si>
    <t>CVE-2026-34330</t>
  </si>
  <si>
    <t>CVE-2026-34331</t>
  </si>
  <si>
    <t>CVE-2026-34333</t>
  </si>
  <si>
    <t>Use after free in Windows Win32K - GRFX allows an authorized attacker to elevate privileges locally.</t>
  </si>
  <si>
    <t>CVE-2026-34334</t>
  </si>
  <si>
    <t>CVE-2026-34335</t>
  </si>
  <si>
    <t>CVE-2026-34336</t>
  </si>
  <si>
    <t>Integer overflow or wraparound in Windows DWM Core Library allows an authorized attacker to elevate privileges locally.</t>
  </si>
  <si>
    <t>CVE-2026-34337</t>
  </si>
  <si>
    <t>CVE-2026-34338</t>
  </si>
  <si>
    <t>Use after free in Windows Telephony Service allows an authorized attacker to elevate privileges locally.</t>
  </si>
  <si>
    <t>CVE-2026-34340</t>
  </si>
  <si>
    <t>CVE-2026-34341</t>
  </si>
  <si>
    <t>Double free in Windows Link-Layer Discovery Protocol (LLDP) allows an authorized attacker to elevate privileges locally.</t>
  </si>
  <si>
    <t>CVE-2026-34342</t>
  </si>
  <si>
    <t>Concurrent execution using shared resource with improper synchronization ('race condition') in Windows Print Spooler Components allows an authorized attacker to elevate privileges locally.</t>
  </si>
  <si>
    <t>CVE-2026-34343</t>
  </si>
  <si>
    <t>Heap-based buffer overflow in Windows Application Identity (AppID) Subsystem allows an authorized attacker to elevate privileges locally.</t>
  </si>
  <si>
    <t>CVE-2026-34344</t>
  </si>
  <si>
    <t>Access of resource using incompatible type ('type confusion') in Windows Ancillary Function Driver for WinSock allows an authorized attacker to elevate privileges locally.</t>
  </si>
  <si>
    <t>CVE-2026-34345</t>
  </si>
  <si>
    <t>CVE-2026-34347</t>
  </si>
  <si>
    <t>CVE-2026-34351</t>
  </si>
  <si>
    <t>CVE-2026-35415</t>
  </si>
  <si>
    <t>Integer overflow or wraparound in Windows Storage Spaces Controller allows an authorized attacker to elevate privileges locally.</t>
  </si>
  <si>
    <t>CVE-2026-35416</t>
  </si>
  <si>
    <t>CVE-2026-35417</t>
  </si>
  <si>
    <t>CVE-2026-35418</t>
  </si>
  <si>
    <t>CVE-2026-35421</t>
  </si>
  <si>
    <t>Heap-based buffer overflow in Windows GDI allows an unauthorized attacker to execute code locally.</t>
  </si>
  <si>
    <t>CVE-2026-35424</t>
  </si>
  <si>
    <t>Missing release of memory after effective lifetime in Windows Internet Key Exchange (IKE) Protocol allows an unauthorized attacker to deny service over a network.</t>
  </si>
  <si>
    <t>CVE-2026-40369</t>
  </si>
  <si>
    <t>CVE-2026-40377</t>
  </si>
  <si>
    <t>Heap-based buffer overflow in Windows Cryptographic Services allows an authorized attacker to elevate privileges locally.</t>
  </si>
  <si>
    <t>CVE-2026-40382</t>
  </si>
  <si>
    <t>CVE-2026-40397</t>
  </si>
  <si>
    <t>Heap-based buffer overflow in Windows Common Log File System Driver allows an authorized attacker to elevate privileges locally.</t>
  </si>
  <si>
    <t>CVE-2026-40398</t>
  </si>
  <si>
    <t>Heap-based buffer overflow in Windows Remote Desktop allows an authorized attacker to elevate privileges locally.</t>
  </si>
  <si>
    <t>CVE-2026-40399</t>
  </si>
  <si>
    <t>CVE-2026-40401</t>
  </si>
  <si>
    <t>Windows TCP/IP Denial of Service Vulnerability</t>
  </si>
  <si>
    <t>CVE-2026-40403</t>
  </si>
  <si>
    <t>Heap-based buffer overflow in Windows Win32K - GRFX allows an authorized attacker to execute code locally.</t>
  </si>
  <si>
    <t>CVE-2026-40404</t>
  </si>
  <si>
    <t>Windows Universal Disk Format File System Driver (UDFS) Elevation of Privilege Vulnerability</t>
  </si>
  <si>
    <t>CVE-2026-40405</t>
  </si>
  <si>
    <t>Null pointer dereference in Windows TCP/IP allows an unauthorized attacker to deny service over a network.</t>
  </si>
  <si>
    <t>CVE-2026-40406</t>
  </si>
  <si>
    <t>Use after free in Windows TCP/IP allows an unauthorized attacker to disclose information over a network.</t>
  </si>
  <si>
    <t>CVE-2026-40407</t>
  </si>
  <si>
    <t>CVE-2026-40408</t>
  </si>
  <si>
    <t>Use after free in Windows Kernel-Mode Drivers allows an authorized attacker to elevate privileges locally.</t>
  </si>
  <si>
    <t>CVE-2026-40409</t>
  </si>
  <si>
    <t>CVE-2026-40410</t>
  </si>
  <si>
    <t>Use after free in Windows SMB Client allows an authorized attacker to elevate privileges locally.</t>
  </si>
  <si>
    <t>CVE-2026-40413</t>
  </si>
  <si>
    <t>CVE-2026-40414</t>
  </si>
  <si>
    <t>CVE-2026-40415</t>
  </si>
  <si>
    <t>Use after free in Windows TCP/IP allows an unauthorized attacker to execute code over a network.</t>
  </si>
  <si>
    <t>CVE-2026-41088</t>
  </si>
  <si>
    <t>CVE-2026-41092</t>
  </si>
  <si>
    <t>Improper access control in Microsoft Kinect allows an authorized attacker to elevate privileges locally.</t>
  </si>
  <si>
    <t>CVE-2026-41108</t>
  </si>
  <si>
    <t>Heap-based buffer overflow in Microsoft Windows DNS allows an authorized attacker to elevate privileges locally.</t>
  </si>
  <si>
    <t>CVE-2026-42825</t>
  </si>
  <si>
    <t>CVE-2026-42828</t>
  </si>
  <si>
    <t>Buffer over-read in Windows Projected File System Filter Driver allows an authorized attacker to elevate privileges locally.</t>
  </si>
  <si>
    <t>CVE-2026-42829</t>
  </si>
  <si>
    <t>Improper access control in Windows Administrator Protection allows an authorized attacker to bypass a security feature locally.</t>
  </si>
  <si>
    <t>CVE-2026-42836</t>
  </si>
  <si>
    <t>CVE-2026-42837</t>
  </si>
  <si>
    <t>Out-of-bounds read in Windows Projected File System Filter Driver allows an authorized attacker to elevate privileges locally.</t>
  </si>
  <si>
    <t>CVE-2026-42896</t>
  </si>
  <si>
    <t>CVE-2026-42905</t>
  </si>
  <si>
    <t>Use after free in Windows DWM Core Library allows an authorized attacker to elevate privileges locally.</t>
  </si>
  <si>
    <t>CVE-2026-42908</t>
  </si>
  <si>
    <t>Out-of-bounds read in Windows RDP allows an unauthorized attacker to disclose information over a network.</t>
  </si>
  <si>
    <t>CVE-2026-42909</t>
  </si>
  <si>
    <t>Concurrent execution using shared resource with improper synchronization ('race condition') in Remote Desktop Client allows an unauthorized attacker to execute code over a network.</t>
  </si>
  <si>
    <t>CVE-2026-42910</t>
  </si>
  <si>
    <t>Out-of-bounds write in Windows Hotpatch Monitoring Service allows an authorized attacker to elevate privileges locally.</t>
  </si>
  <si>
    <t>CVE-2026-42911</t>
  </si>
  <si>
    <t>CVE-2026-42912</t>
  </si>
  <si>
    <t>Concurrent execution using shared resource with improper synchronization ('race condition') in Windows Telephony Service allows an authorized attacker to elevate privileges locally.</t>
  </si>
  <si>
    <t>CVE-2026-42913</t>
  </si>
  <si>
    <t>CVE-2026-42916</t>
  </si>
  <si>
    <t>Integer overflow or wraparound in Windows NT OS Kernel allows an authorized attacker to elevate privileges locally.</t>
  </si>
  <si>
    <t>CVE-2026-42974</t>
  </si>
  <si>
    <t>Integer overflow or wraparound in Windows Performance Monitor allows an unauthorized attacker to execute code over a network.</t>
  </si>
  <si>
    <t>CVE-2026-42977</t>
  </si>
  <si>
    <t>CVE-2026-42978</t>
  </si>
  <si>
    <t>CVE-2026-42979</t>
  </si>
  <si>
    <t>CVE-2026-42980</t>
  </si>
  <si>
    <t>Integer underflow (wrap or wraparound) in Windows NT OS Kernel allows an authorized attacker to elevate privileges locally.</t>
  </si>
  <si>
    <t>CVE-2026-42981</t>
  </si>
  <si>
    <t>Integer underflow (wrap or wraparound) in Windows Performance Monitor allows an unauthorized attacker to execute code over a network.</t>
  </si>
  <si>
    <t>CVE-2026-42983</t>
  </si>
  <si>
    <t>CVE-2026-42984</t>
  </si>
  <si>
    <t>Use after free in Windows Kernel allows an authorized attacker to elevate privileges locally.</t>
  </si>
  <si>
    <t>CVE-2026-42985</t>
  </si>
  <si>
    <t>CVE-2026-42986</t>
  </si>
  <si>
    <t>Use after free in Microsoft Graphics Component allows an authorized attacker to elevate privileges locally.</t>
  </si>
  <si>
    <t>CVE-2026-42989</t>
  </si>
  <si>
    <t>Improper link resolution before file access ('link following') in Winlogon allows an authorized attacker to elevate privileges locally.</t>
  </si>
  <si>
    <t>CVE-2026-42991</t>
  </si>
  <si>
    <t>CVE-2026-42992</t>
  </si>
  <si>
    <t>Heap-based buffer overflow in Remote Desktop Client allows an unauthorized attacker to execute code over a network.</t>
  </si>
  <si>
    <t>CVE-2026-42993</t>
  </si>
  <si>
    <t>CVE-2026-44799</t>
  </si>
  <si>
    <t>CVE-2026-44801</t>
  </si>
  <si>
    <t>CVE-2026-44802</t>
  </si>
  <si>
    <t>CVE-2026-44803</t>
  </si>
  <si>
    <t>Integer overflow or wraparound in Windows Win32K - GRFX allows an unauthorized attacker to execute code locally.</t>
  </si>
  <si>
    <t>CVE-2026-44809</t>
  </si>
  <si>
    <t>CVE-2026-44810</t>
  </si>
  <si>
    <t>Improper authentication in Windows Cryptographic Services allows an unauthorized attacker to elevate privileges locally.</t>
  </si>
  <si>
    <t>CVE-2026-44812</t>
  </si>
  <si>
    <t>CVE-2026-45487</t>
  </si>
  <si>
    <t>Time-of-check time-of-use (TOCTOU) race condition in Program Compatibility Assistant Service allows an authorized attacker to elevate privileges locally.</t>
  </si>
  <si>
    <t>CVE-2026-45586</t>
  </si>
  <si>
    <t>Improper link resolution before file access ('link following') in Windows Collaborative Translation Framework allows an authorized attacker to elevate privileges locally.</t>
  </si>
  <si>
    <t>CVE-2026-45588</t>
  </si>
  <si>
    <t>Protection mechanism failure in Windows Secure Boot allows an authorized attacker to bypass a security feature locally.</t>
  </si>
  <si>
    <t>CVE-2026-45592</t>
  </si>
  <si>
    <t>Integer overflow or wraparound in Windows Internet (wininet.dll) allows an authorized attacker to elevate privileges locally.</t>
  </si>
  <si>
    <t>CVE-2026-45593</t>
  </si>
  <si>
    <t>Use after free in Windows SDK allows an authorized attacker to elevate privileges locally.</t>
  </si>
  <si>
    <t>CVE-2026-45596</t>
  </si>
  <si>
    <t>CVE-2026-45597</t>
  </si>
  <si>
    <t>Concurrent execution using shared resource with improper synchronization ('race condition') in UI Automation Manager (uiamanager.dll) allows an authorized attacker to elevate privileges locally.</t>
  </si>
  <si>
    <t>CVE-2026-45598</t>
  </si>
  <si>
    <t>CVE-2026-45599</t>
  </si>
  <si>
    <t>Use after free in Universal Plug and Play (upnp.dll) allows an unauthorized attacker to execute code over a network.</t>
  </si>
  <si>
    <t>CVE-2026-45600</t>
  </si>
  <si>
    <t>Access of resource using incompatible type ('type confusion') in Windows Kernel-Mode Drivers allows an authorized attacker to elevate privileges locally.</t>
  </si>
  <si>
    <t>CVE-2026-45601</t>
  </si>
  <si>
    <t>CVE-2026-45603</t>
  </si>
  <si>
    <t>CVE-2026-45605</t>
  </si>
  <si>
    <t>Use after free in Windows Bluetooth Service allows an authorized attacker to elevate privileges locally.</t>
  </si>
  <si>
    <t>CVE-2026-45607</t>
  </si>
  <si>
    <t>Out-of-bounds read in Windows Hyper-V allows an unauthorized attacker to execute code locally.</t>
  </si>
  <si>
    <t>CVE-2026-45635</t>
  </si>
  <si>
    <t>Access of resource using incompatible type ('type confusion') in Universal Plug and Play (upnp.dll) allows an unauthorized attacker to execute code over a network.</t>
  </si>
  <si>
    <t>CVE-2026-45636</t>
  </si>
  <si>
    <t>Heap-based buffer overflow in Windows NTFS allows an unauthorized attacker to execute code locally.</t>
  </si>
  <si>
    <t>CVE-2026-45637</t>
  </si>
  <si>
    <t>CVE-2026-45638</t>
  </si>
  <si>
    <t>Heap-based buffer overflow in Windows Ancillary Function Driver for WinSock allows an authorized attacker to elevate privileges locally.</t>
  </si>
  <si>
    <t>CVE-2026-45639</t>
  </si>
  <si>
    <t>CVE-2026-45640</t>
  </si>
  <si>
    <t>Use after free in Windows Bluetooth Port Driver allows an authorized attacker to elevate privileges locally.</t>
  </si>
  <si>
    <t>CVE-2026-45641</t>
  </si>
  <si>
    <t>Access of resource using incompatible type ('type confusion') in Windows Hyper-V allows an unauthorized attacker to execute code locally.</t>
  </si>
  <si>
    <t>CVE-2026-45653</t>
  </si>
  <si>
    <t>CVE-2026-45654</t>
  </si>
  <si>
    <t>Improper access control in Windows Secure Boot allows an authorized attacker to bypass a security feature locally.</t>
  </si>
  <si>
    <t>CVE-2026-45656</t>
  </si>
  <si>
    <t>Protection mechanism failure in Windows UEFI allows an authorized attacker to bypass a security feature locally.</t>
  </si>
  <si>
    <t>CVE-2026-45658</t>
  </si>
  <si>
    <t>Improper access control in Windows BitLocker allows an authorized attacker to bypass a security feature locally.</t>
  </si>
  <si>
    <t>CVE-2026-47289</t>
  </si>
  <si>
    <t>CVE-2026-47648</t>
  </si>
  <si>
    <t>Untrusted search path in Windows Storage allows an authorized attacker to elevate privileges locally.</t>
  </si>
  <si>
    <t>CVE-2026-47652</t>
  </si>
  <si>
    <t>Heap-based buffer overflow in Windows Hyper-V allows an authorized attacker to execute code locally.</t>
  </si>
  <si>
    <t>CVE-2026-47653</t>
  </si>
  <si>
    <t>CVE-2026-47656</t>
  </si>
  <si>
    <t>Protection mechanism failure in Windows Boot Manager allows an authorized attacker to bypass a security feature locally.</t>
  </si>
  <si>
    <t>CVE-2026-48563</t>
  </si>
  <si>
    <t>CVE-2026-48568</t>
  </si>
  <si>
    <t>CVE-2026-48570</t>
  </si>
  <si>
    <t>CVE-2026-48573</t>
  </si>
  <si>
    <t>No cwe for this issue in Windows Secure Boot allows an authorized attacker to bypass a security feature locally.</t>
  </si>
  <si>
    <t>CVE-2026-48574</t>
  </si>
  <si>
    <t>Heap-based buffer overflow in Windows Media allows an unauthorized attacker to execute code locally.</t>
  </si>
  <si>
    <t>CVE-2026-48575</t>
  </si>
  <si>
    <t>CVE-2026-48576</t>
  </si>
  <si>
    <t>CVE-2026-48578</t>
  </si>
  <si>
    <t>Improper access control in Windows Secure Boot allows an authorized attacker to elevate privileges locally.</t>
  </si>
  <si>
    <t>CVE-2026-48583</t>
  </si>
  <si>
    <t>CVE-2026-49160</t>
  </si>
  <si>
    <t>Uncontrolled resource consumption in HTTP/2 allows an unauthorized attacker to deny service over a network.</t>
  </si>
  <si>
    <t>CVE-2016-2568</t>
  </si>
  <si>
    <t>libpolkit-gobject-1-0</t>
  </si>
  <si>
    <t>pkexec, when used with --user nonpriv, allows local users to escape to theparent session via a crafted TIOCSTI ioctl call, which pushes characters tothe terminal's input buffer.</t>
  </si>
  <si>
    <t>polkitd</t>
  </si>
  <si>
    <t>libpolkit-agent-1-0</t>
  </si>
  <si>
    <t>CVE-2017-13165</t>
  </si>
  <si>
    <t>An elevation of privilege vulnerability in the kernel file system. Product:Android. Versions: Android kernel. Android ID A-31269937.</t>
  </si>
  <si>
    <t>CVE-2018-12930</t>
  </si>
  <si>
    <t>ntfs_end_buffer_async_read in the ntfs.ko filesystem driver in the Linuxkernel 4.15.0 allows attackers to trigger a stack-based out-of-bounds writeand cause a denial of service (kernel oops or panic) or possibly haveunspecified other impact via a crafted ntfs filesystem.</t>
  </si>
  <si>
    <t>CVE-2018-12931</t>
  </si>
  <si>
    <t>ntfs_attr_find in the ntfs.ko filesystem driver in the Linux kernel 4.15.0allows attackers to trigger a stack-based out-of-bounds write and cause adenial of service (kernel oops or panic) or possibly have unspecified otherimpact via a crafted ntfs filesystem.</t>
  </si>
  <si>
    <t>CVE-2018-6952</t>
  </si>
  <si>
    <t>patch</t>
  </si>
  <si>
    <t>A double free exists in the another_hunk function in pch.c in GNU patchthrough 2.7.6.</t>
  </si>
  <si>
    <t>CVE-2019-14899</t>
  </si>
  <si>
    <t>A vulnerability was discovered in Linux, FreeBSD, OpenBSD, MacOS, iOS, andAndroid that allows a malicious access point, or an adjacent user, todetermine if a connected user is using a VPN, make positive inferencesabout the websites they are visiting, and determine the correct sequenceand acknowledgement numbers in use, allowing the bad actor to inject datainto the TCP stream. This provides everything that is needed for anattacker to hijack active connections inside the VPN tunnel.</t>
  </si>
  <si>
    <t>CVE-2019-15794</t>
  </si>
  <si>
    <t>Overlayfs in the Linux kernel and shiftfs, a non-upstream patch to theLinux kernel included in the Ubuntu 5.0 and 5.3 kernel series, both replacevma-&gt;vm_file in their mmap handlers. On error the original value is notrestored, and the reference is put for the file to which vm_file points. Onupstream kernels this is not an issue, as no callers dereference vm_filefollowing after call_mmap() returns an error. However, the aufs patchschange mmap_region() to replace the fput() using a local variable withvma_fput(), which will fput() vm_file, leading to a refcount underflow.</t>
  </si>
  <si>
    <t>CVE-2019-19378</t>
  </si>
  <si>
    <t>In the Linux kernel 5.0.21, mounting a crafted btrfs filesystem image canlead to slab-out-of-bounds write access in index_rbio_pages infs/btrfs/raid56.c.</t>
  </si>
  <si>
    <t>CVE-2019-19814</t>
  </si>
  <si>
    <t>In the Linux kernel 5.0.21, mounting a crafted f2fs filesystem image cancause __remove_dirty_segment slab-out-of-bounds write access because anarray is bounded by the number of dirty types (8) but the array index canexceed this.</t>
  </si>
  <si>
    <t>CVE-2019-20426</t>
  </si>
  <si>
    <t>In the Lustre file system before 2.12.3, the ptlrpc module has anout-of-bounds access and panic due to the lack of validation for specificfields of packets sent by a client. In the functionldlm_cancel_hpreq_check, there is no lock_count bounds check.</t>
  </si>
  <si>
    <t>CVE-2020-26560</t>
  </si>
  <si>
    <t>Bluetooth Mesh Provisioning in the Bluetooth Mesh profile 1.0 and 1.0.1 maypermit a nearby device, reflecting the authentication evidence from aProvisioner, to complete authentication without possessing the AuthValue,and potentially acquire a NetKey and AppKey.</t>
  </si>
  <si>
    <t>CVE-2021-26934</t>
  </si>
  <si>
    <t>An issue was discovered in the Linux kernel 4.18 through 5.10.16, as usedby Xen. The backend allocation (aka be-alloc) mode of the drm_xen_frontdrivers was not meant to be a supported configuration, but this wasn'tstated accordingly in its support status entry.</t>
  </si>
  <si>
    <t>CVE-2021-3864</t>
  </si>
  <si>
    <t>A flaw was found in the way the dumpable flag setting was handled whencertain SUID binaries executed its descendants. The prerequisite is a SUIDbinary that sets real UID equal to effective UID, and real GID equal toeffective GID. The descendant will then have a dumpable value set to 1. Asa result, if the descendant process crashes and core_pattern is set to arelative value, its core dump is stored in the current directory withuid:gid permissions. An unprivileged local user with eligible root SUIDbinary could use this flaw to place core dumps into root-owned directories,potentially resulting in escalation of privileges.</t>
  </si>
  <si>
    <t>CVE-2022-0400</t>
  </si>
  <si>
    <t>An out-of-bounds read vulnerability was discovered in linux kernel in thesmc protocol stack, causing remote dos.</t>
  </si>
  <si>
    <t>CVE-2022-1247</t>
  </si>
  <si>
    <t>An issue found in linux-kernel that leads to a race condition inrose_connect(). The rose driver uses rose_neigh-&gt;use to represent how manyobjects are using the rose_neigh. When a user wants to delete a rose_routevia rose_ioctl(), the rose driver calls rose_del_node() and removesneighbours only if their “count” and “use” are zero.</t>
  </si>
  <si>
    <t>CVE-2022-25265</t>
  </si>
  <si>
    <t>In the Linux kernel through 5.16.10, certain binary files may have theexec-all attribute if they were built in approximately 2003 (e.g., with GCC3.2.2 and Linux kernel 2.4.20). This can cause execution of bytes locatedin supposedly non-executable regions of a file.</t>
  </si>
  <si>
    <t>CVE-2022-25836</t>
  </si>
  <si>
    <t>Bluetooth® Low Energy Pairing in Bluetooth Core Specification v4.0 throughv5.3 may permit an unauthenticated MITM to acquire credentials with twopairing devices via adjacent access when the MITM negotiates Legacy PasskeyPairing with the pairing Initiator and Secure Connections Passkey Pairingwith the pairing Responder and brute forces the Passkey entered by the userinto the Initiator. The MITM attacker can use the identified Passkey valueto complete authentication with the Responder via Bluetooth pairing methodconfusion.</t>
  </si>
  <si>
    <t>CVE-2022-2961</t>
  </si>
  <si>
    <t>A use-after-free flaw was found in the Linux kernel’s PLP Rosefunctionality in the way a user triggers a race condition by calling bindwhile simultaneously triggering the rose_bind() function. This flaw allowsa local user to crash or potentially escalate their privileges on thesystem.</t>
  </si>
  <si>
    <t>CVE-2022-3238</t>
  </si>
  <si>
    <t>A double-free flaw was found in the Linux kernel’s NTFS3 subsystem in how auser triggers remount and umount simultaneously. This flaw allows a localuser to crash or potentially escalate their privileges on the system.</t>
  </si>
  <si>
    <t>CVE-2022-45885</t>
  </si>
  <si>
    <t>An issue was discovered in the Linux kernel through 6.0.9.drivers/media/dvb-core/dvb_frontend.c has a race condition that can cause ause-after-free when a device is disconnected.</t>
  </si>
  <si>
    <t>CVE-2022-50090</t>
  </si>
  <si>
    <t>In the Linux kernel, the following vulnerability has been resolved:btrfs: replace BTRFS_MAX_EXTENT_SIZE with fs_info-&gt;max_extent_sizeOn zoned filesystem, data write out is limited by max_zone_append_size,and a large ordered extent is split according the size of a bio. OTOH,the number of extents to be written is calculated usingBTRFS_MAX_EXTENT_SIZE, and that estimated number is used to reserve themetadata bytes to update and/or create the metadata items.The metadata reservation is done at e.g, btrfs_buffered_write() and thenreleased according to the estimation changes. Thus, if the number of extentincreases massively, the reserved metadata can run out.The increase of the number of extents easily occurs on zoned filesystemif BTRFS_MAX_EXTENT_SIZE &gt; max_zone_append_size. And, it causes thefollowing warning on a small RAM environment with disabling metadataover-commit (in the following patch).[75721.498492] ------------[ cut here ]------------[75721.505624] BTRFS: block rsv 1 returned -28[75721.512230] WARNING: CPU: 24 PID: 2327559 at fs/btrfs/block-rsv.c:537btrfs_use_block_rsv+0x560/0x760 [btrfs][75721.581854] CPU: 24 PID: 2327559 Comm: kworker/u64:10 Kdump: loadedTainted: G        W         5.18.0-rc2-BTRFS-ZNS+ #109[75721.597200] Hardware name: Supermicro Super Server/H12SSL-NT, BIOS 2.002/22/2021[75721.607310] Workqueue: btrfs-endio-write btrfs_work_helper [btrfs][75721.616209] RIP: 0010:btrfs_use_block_rsv+0x560/0x760 [btrfs][75721.646649] RSP: 0018:ffffc9000fbdf3e0 EFLAGS: 00010286[75721.654126] RAX: 0000000000000000 RBX: 0000000000004000 RCX:0000000000000000[75721.663524] RDX: 0000000000000004 RSI: 0000000000000008 RDI:fffff52001f7be6e[75721.672921] RBP: ffffc9000fbdf420 R08: 0000000000000001 R09:ffff889f8d1fc6c7[75721.682493] R10: ffffed13f1a3f8d8 R11: 0000000000000001 R12:ffff88980a3c0e28[75721.692284] R13: ffff889b66590000 R14: ffff88980a3c0e40 R15:ffff88980a3c0e8a[75721.701878] FS:  0000000000000000(0000) GS:ffff889f8d000000(0000)knlGS:0000000000000000[75721.712601] CS:  0010 DS: 0000 ES: 0000 CR0: 0000000080050033[75721.720726] CR2: 000055d12e05c018 CR3: 0000800193594000 CR4:0000000000350ee0[75721.730499] Call Trace:[75721.735166]  &lt;TASK&gt;[75721.739886]  btrfs_alloc_tree_block+0x1e1/0x1100 [btrfs][75721.747545]  ? btrfs_alloc_logged_file_extent+0x550/0x550 [btrfs][75721.756145]  ? btrfs_get_32+0xea/0x2d0 [btrfs][75721.762852]  ? btrfs_get_32+0xea/0x2d0 [btrfs][75721.769520]  ? push_leaf_left+0x420/0x620 [btrfs][75721.776431]  ? memcpy+0x4e/0x60[75721.781931]  split_leaf+0x433/0x12d0 [btrfs][75721.788392]  ? btrfs_get_token_32+0x580/0x580 [btrfs][75721.795636]  ? push_for_double_split.isra.0+0x420/0x420 [btrfs][75721.803759]  ? leaf_space_used+0x15d/0x1a0 [btrfs][75721.811156]  btrfs_search_slot+0x1bc3/0x2790 [btrfs][75721.818300]  ? lock_downgrade+0x7c0/0x7c0[75721.824411]  ? free_extent_buffer.part.0+0x107/0x200 [btrfs][75721.832456]  ? split_leaf+0x12d0/0x12d0 [btrfs][75721.839149]  ? free_extent_buffer.part.0+0x14f/0x200 [btrfs][75721.846945]  ? free_extent_buffer+0x13/0x20 [btrfs][75721.853960]  ? btrfs_release_path+0x4b/0x190 [btrfs][75721.861429]  btrfs_csum_file_blocks+0x85c/0x1500 [btrfs][75721.869313]  ? rcu_read_lock_sched_held+0x16/0x80[75721.876085]  ? lock_release+0x552/0xf80[75721.881957]  ? btrfs_del_csums+0x8c0/0x8c0 [btrfs][75721.888886]  ? __kasan_check_write+0x14/0x20[75721.895152]  ? do_raw_read_unlock+0x44/0x80[75721.901323]  ? _raw_write_lock_irq+0x60/0x80[75721.907983]  ? btrfs_global_root+0xb9/0xe0 [btrfs][75721.915166]  ? btrfs_csum_root+0x12b/0x180 [btrfs][75721.921918]  ? btrfs_get_global_root+0x820/0x820 [btrfs][75721.929166]  ? _raw_write_unlock+0x23/0x40[75721.935116]  ? unpin_extent_cache+0x1e3/0x390 [btrfs][75721.942041]  btrfs_finish_ordered_io.isra.0+0xa0c/0x1dc0 [btrfs][75721.949906]  ? try_to_wake_up+0x30/0x14a0[75721.955700]  ? btrfs_unlink_subvol+0xda0/0xda0 [btrfs][75721.962661]  ? rcu---truncated---</t>
  </si>
  <si>
    <t>CVE-2022-50240</t>
  </si>
  <si>
    <t>In the Linux kernel, the following vulnerability has been resolved:android: binder: stop saving a pointer to the VMADo not record a pointer to a VMA outside of the mmap_lock for later use.This is unsafe and there are a number of failure paths *after* therecorded VMA pointer may be freed during setup.  There is no callback tothe driver to clear the saved pointer from generic mm code.  Furthermore,the VMA pointer may become stale if any number of VMA operations end upfreeing the VMA so saving it was fragile to being with.Instead, change the binder_alloc struct to record the start address of theVMA and use vma_lookup() to get the vma when needed.  Add lockdepmmap_lock checks on updates to the vma pointer to ensure the lock is heldand depend on that lock for synchronization of readers and writers - whichwas already the case anyways, so the smp_wmb()/smp_rmb() was notnecessary.[akpm@linux-foundation.org: fix drivers/android/binder_alloc_selftest.c]</t>
  </si>
  <si>
    <t>CVE-2022-50551</t>
  </si>
  <si>
    <t>In the Linux kernel, the following vulnerability has been resolved:wifi: brcmfmac: Fix potential shift-out-of-bounds inbrcmf_fw_alloc_request()This patch fixes a shift-out-of-bounds in brcmfmac that occurs inBIT(chiprev) when a 'chiprev' provided by the device is too large.It should also not be equal to or greater than BITS_PER_TYPE(u32)as we do bitwise AND with a u32 variable and BIT(chiprev). The patchadds a check that makes the function return NULL if that is the case.Note that the NULL case is later handled by the bus-specific caller,brcmf_usb_probe_cb() or brcmf_usb_reset_resume(), for example.Found by a modified version of syzkaller.UBSAN: shift-out-of-bounds indrivers/net/wireless/broadcom/brcm80211/brcmfmac/firmware.cshift exponent 151055786 is too large for 64-bit type 'long unsigned int'CPU: 0 PID: 1885 Comm: kworker/0:2 Tainted: G           O      5.14.0+ #132Hardware name: QEMU Standard PC (i440FX + PIIX, 1996), BIOSrel-1.12.1-0-ga5cab58e9a3f-prebuilt.qemu.org 04/01/2014Workqueue: usb_hub_wq hub_eventCall Trace: dump_stack_lvl+0x57/0x7d ubsan_epilogue+0x5/0x40 __ubsan_handle_shift_out_of_bounds.cold+0x53/0xdb ? lock_chain_count+0x20/0x20 brcmf_fw_alloc_request.cold+0x19/0x3ea ? brcmf_fw_get_firmwares+0x250/0x250 ? brcmf_usb_ioctl_resp_wait+0x1a7/0x1f0 brcmf_usb_get_fwname+0x114/0x1a0 ? brcmf_usb_reset_resume+0x120/0x120 ? number+0x6c4/0x9a0 brcmf_c_process_clm_blob+0x168/0x590 ? put_dec+0x90/0x90 ? enable_ptr_key_workfn+0x20/0x20 ? brcmf_common_pd_remove+0x50/0x50 ? rcu_read_lock_sched_held+0xa1/0xd0 brcmf_c_preinit_dcmds+0x673/0xc40 ? brcmf_c_set_joinpref_default+0x100/0x100 ? rcu_read_lock_sched_held+0xa1/0xd0 ? rcu_read_lock_bh_held+0xb0/0xb0 ? lock_acquire+0x19d/0x4e0 ? find_held_lock+0x2d/0x110 ? brcmf_usb_deq+0x1cc/0x260 ? mark_held_locks+0x9f/0xe0 ? lockdep_hardirqs_on_prepare+0x273/0x3e0 ? _raw_spin_unlock_irqrestore+0x47/0x50 ? trace_hardirqs_on+0x1c/0x120 ? brcmf_usb_deq+0x1a7/0x260 ? brcmf_usb_rx_fill_all+0x5a/0xf0 brcmf_attach+0x246/0xd40 ? wiphy_new_nm+0x1476/0x1d50 ? kmemdup+0x30/0x40 brcmf_usb_probe+0x12de/0x1690 ? brcmf_usbdev_qinit.constprop.0+0x470/0x470 usb_probe_interface+0x25f/0x710 really_probe+0x1be/0xa90 __driver_probe_device+0x2ab/0x460 ? usb_match_id.part.0+0x88/0xc0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__mutex_unlock_slowpath+0xe7/0x660 ? __fw_devlink_link_to_suppliers+0x550/0x550 usb_set_configuration+0x984/0x1770 ? kernfs_create_link+0x175/0x230 usb_generic_driver_probe+0x69/0x90 usb_probe_device+0x9c/0x220 really_probe+0x1be/0xa90 __driver_probe_device+0x2ab/0x460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__fw_devlink_link_to_suppliers+0x550/0x550 usb_new_device.cold+0x463/0xf66 ? hub_disconnect+0x400/0x400 ? _raw_spin_unlock_irq+0x24/0x30 hub_event+0x10d5/0x3330 ? hub_port_debounce+0x280/0x280 ? __lock_acquire+0x1671/0x5790 ? wq_calc_node_cpumask+0x170/0x2a0 ? lock_release+0x640/0x640 ? rcu_read_lock_sched_held+0xa1/0xd0 ? rcu_read_lock_bh_held+0xb0/0xb0 ? lockdep_hardirqs_on_prepare+0x273/0x3e0 process_one_work+0x873/0x13e0 ? lock_release+0x640/0x640 ? pwq_dec_nr_in_flight+0x320/0x320 ? rwlock_bug.part.0+0x90/0x90 worker_thread+0x8b/0xd10 ? __kthread_parkme+0xd9/0x1d0 ? pr---truncated---</t>
  </si>
  <si>
    <t>CVE-2023-0030</t>
  </si>
  <si>
    <t>A use-after-free flaw was found in the Linux kernel’s nouveau driver in howa user triggers a memory overflow that causes the nvkm_vma_tail function tofail. This flaw allows a local user to crash or potentially escalate theirprivileges on the system.</t>
  </si>
  <si>
    <t>CVE-2023-26242</t>
  </si>
  <si>
    <t>afu_mmio_region_get_by_offset in drivers/fpga/dfl-afu-region.c in the Linuxkernel through 6.1.12 has an integer overflow.</t>
  </si>
  <si>
    <t>CVE-2023-33053</t>
  </si>
  <si>
    <t>Memory corruption in Kernel while parsing metadata.</t>
  </si>
  <si>
    <t>CVE-2023-3397</t>
  </si>
  <si>
    <t>A race condition occurred between the functions lmLogClose and txEnd inJFS, in the Linux Kernel, executed in different threads. This flaw allows alocal attacker with normal user privileges to crash the system or leakinternal kernel information.</t>
  </si>
  <si>
    <t>CVE-2023-3640</t>
  </si>
  <si>
    <t>A possible unauthorized memory access flaw was found in the Linux kernel'scpu_entry_area mapping of X86 CPU data to memory, where a user may guessthe location of exception stacks or other important data. Based on theprevious CVE-2023-0597, the 'Randomize per-cpu entry area' feature wasimplemented in /arch/x86/mm/cpu_entry_area.c, which works through theinit_cea_offsets() function when KASLR is enabled. However, despite thisfeature, there is still a risk of per-cpu entry area leaks. This issuecould allow a local user to gain access to some important data with memoryin an expected location and potentially escalate their privileges on thesystem.</t>
  </si>
  <si>
    <t>CVE-2024-52005</t>
  </si>
  <si>
    <t>git-man</t>
  </si>
  <si>
    <t>Git is a source code management tool. When cloning from a server (orfetching, or pushing), informational or error messages are transported fromthe remote Git process to the client via the so-called "sideband channel".These messages will be prefixed with "remote:" and printed directly to thestandard error output. Typically, this standard error output is connectedto a terminal that understands ANSI escape sequences, which Git did notprotect against. Most modern terminals support control sequences that canbe used by a malicious actor to hide and misrepresent information, or tomislead the user into executing untrusted scripts. As requested on thegit-security mailing list, the patches are under discussion on the publicmailing list. Users are advised to update as soon as possible. Users unableto upgrade should avoid recursive clones unless they are from trustedsources.</t>
  </si>
  <si>
    <t>git</t>
  </si>
  <si>
    <t>CVE-2025-1272</t>
  </si>
  <si>
    <t>The Linux Kernel lockdown mode for kernel versions starting on 6.12 andabove for Fedora Linux has the lockdown mode disabled without any warning.This may allow an attacker to gain access to sensitive information suchkernel memory mappings, I/O ports, BPF and kprobes. Additionally unsignedmodules can be loaded, leading to execution of untrusted code breakingbreaking any Secure Boot protection. This vulnerability affects only FedoraLinux.</t>
  </si>
  <si>
    <t>CVE-2025-5222</t>
  </si>
  <si>
    <t>libicu78</t>
  </si>
  <si>
    <t>A stack buffer overflow was found in Internationl components for unicode(ICU ). While running the genrb binary, the 'subtag' struct overflowed atthe SRBRoot::addTag function. This issue may lead to memory corruption andlocal arbitrary code execution.</t>
  </si>
  <si>
    <t>CVE-2025-54518</t>
  </si>
  <si>
    <t>Improper isolation of shared resources within the CPU operation cache onZen 2-based products could allow an attacker to corrupt instructionsexecuted at a different privilege level, potentially resulting in privilegeescalation.</t>
  </si>
  <si>
    <t>CVE-2025-7425</t>
  </si>
  <si>
    <t>libxslt1.1</t>
  </si>
  <si>
    <t>A flaw was found in libxslt where the attribute type, atype, flags aremodified in a way that corrupts internal memory management. When XSLTfunctions, such as the key() process, result in tree fragments, thiscorruption prevents the proper cleanup of ID attributes. As a result, thesystem may access freed memory, causing crashes or enabling attackers totrigger heap corruption.</t>
  </si>
  <si>
    <t>CVE-2026-11352</t>
  </si>
  <si>
    <t>An issue in curl's QUIC UDP receive function allows a malicious HTTP/3 serverto trigger a remote denial of service against a curl or libcurl client.Because the helper function discards zero-length UDP datagrams before countingthem toward the per-call packet budget, a connected QUIC peer can continuouslystream empty datagrams to indefinitely stall the client.</t>
  </si>
  <si>
    <t>CVE-2026-11586</t>
  </si>
  <si>
    <t>By default, curl automatically responds to WebSocket PING frames. Because curllacks an upper bound on memory allocation for unacknowledged frames, amalicious server can exhaust all available memory by flooding curl with rapid,sequential PING messages.</t>
  </si>
  <si>
    <t>CVE-2026-12064</t>
  </si>
  <si>
    <t>When a user invokes curl using a schemeless URL combined with`--proto-default` sftp (or scp), a disconnect occurs between the tool layerand libcurl. The tool layer incorrectly infers the URL scheme, whicherroneously bypasses the initialization of critical SSH security options likeCURLOPT_SSH_HOST_PUBLIC_KEY_SHA256 and CURLOPT_SSH_KNOWNHOSTS. Conversely, thelibcurl runtime successfully honors CURLOPT_DEFAULT_PROTOCOL and establishesthe connection via SFTP/SCP as specified. Because the tool layer skipped thesecurity configuration, these SSH host verification options are silentlyomitted, causing curl to connect to an unverified SSH remote host withoutthrowing an error.</t>
  </si>
  <si>
    <t>CVE-2026-25702</t>
  </si>
  <si>
    <t>A Improper Access Control vulnerability in the kernel of SUSE SUSE LinuxEnterprise Server 12 SP5 breaks nftables, causing firewall rules appliedvia nftables to not be effective.This issue affects SUSE Linux EnterpriseServer: from 9e6d9d4601768c75fdb0bad3fbbe636e748939c2 before9c294edb7085fb91650bc12233495a8974c5ff2d.</t>
  </si>
  <si>
    <t>CVE-2026-31786</t>
  </si>
  <si>
    <t>In the Linux kernel, the following vulnerability has been resolved:Buffer overflow in drivers/xen/sys-hypervisor.cThe build id returned by HYPERVISOR_xen_version(XENVER_build_id) isneither NUL terminated nor a string.The first causes a buffer overflow as sprintf in buildid_show willread and copy till it finds a NUL.00000000  f4 91 51 f4 dd 38 9e 9d  65 47 52 eb 10 71 db 50|..Q..8..eGR..q.P|00000010  b9 a8 01 42 6f 2e 32                              |...Bo.2|00000017So use a memcpy instead of sprintf to have the correct value:00000000  f4 91 51 f4 dd 00 9e 9d  65 47 52 eb 10 71 db 50|..Q.....eGR..q.P|00000010  b9 a8 01 42                                       |...B|00000014(the above have a hack to embed a zero inside and check it'sreturned correctly).This is XSA-485 / CVE-2026-31786</t>
  </si>
  <si>
    <t>CVE-2026-31787</t>
  </si>
  <si>
    <t>In the Linux kernel, the following vulnerability has been resolved:xen/privcmd: fix double free via VMA splittingprivcmd_vm_ops defines .close (privcmd_close), but neither .may_splitnor .open. When userspace does a partial munmap() on a privcmd mapping,the kernel splits the VMA via __split_vma(). Since may_split is NULL,the split is allowed. vm_area_dup() copies vm_private_data (a pagesarray allocated in alloc_empty_pages()) into the new VMA without anyfixup, because there is no .open callback.Both VMAs now point to the same pages array. When the unmapped portionis closed, privcmd_close() calls:    - xen_unmap_domain_gfn_range()    - xen_free_unpopulated_pages()    - kvfree(pages)The surviving VMA still holds the dangling pointer. When it is laterdestroyed, the same sequence runs again, which leads to a double free.Fix this issue by adding a .may_split callback denying the VMA split.This is XSA-487 / CVE-2026-31787</t>
  </si>
  <si>
    <t>CVE-2026-33150</t>
  </si>
  <si>
    <t>fuse3</t>
  </si>
  <si>
    <t>libfuse is the reference implementation of the Linux FUSE. From version3.18.0 to before version 3.18.2, a use-after-free vulnerability in theio_uring subsystem of libfuse allows a local attacker to crash FUSEfilesystem processes and potentially execute arbitrary code. When io_uringthread creation fails due to resource exhaustion (e.g., cgroup pids.max),fuse_uring_start() frees the ring pool structure but stores the danglingpointer in the session state, leading to a use-after-free when the sessionshuts down. The trigger is reliable in containerized environments wherecgroup pids.max limits naturally constrain thread creation. This issue hasbeen patched in version 3.18.2.</t>
  </si>
  <si>
    <t>libfuse3-4</t>
  </si>
  <si>
    <t>CVE-2026-35341</t>
  </si>
  <si>
    <t>rust-coreutils</t>
  </si>
  <si>
    <t>A vulnerability in uutils coreutils mkfifo allows for the unauthorizedmodification of permissions on existing files. When mkfifo fails to createa FIFO because a file already exists at the target path, it fails toterminate the operation for that path and continues to execute a follow-upset_permissions call. This results in the existing file's permissions beingchanged to the default mode (often 644 after umask), potentially exposingsensitive files such as SSH private keys to other users on the system.</t>
  </si>
  <si>
    <t>CVE-2026-35352</t>
  </si>
  <si>
    <t>A Time-of-Check to Time-of-Use (TOCTOU) race condition exists in the mkfifoutility of uutils coreutils. The utility creates a FIFO and then performs apath-based chmod to set permissions. A local attacker with write access tothe parent directory can swap the newly created FIFO for a symbolic linkbetween these two operations. This redirects the chmod call to an arbitraryfile, potentially enabling privilege escalation if the utility is run withelevated privileges.</t>
  </si>
  <si>
    <t>CVE-2026-35368</t>
  </si>
  <si>
    <t>A vulnerability exists in the chroot utility of uutils coreutils when usingthe --userspec option. The utility resolves the user specification viagetpwnam() after entering the chroot but before dropping root privileges.On glibc-based systems, this can trigger the Name Service Switch (NSS) toload shared libraries (e.g., libnss_*.so.2) from the new root directory. Ifthe NEWROOT is writable by an attacker, they can inject a malicious NSSmodule to execute arbitrary code as root, facilitating a full containerescape or privilege escalation.</t>
  </si>
  <si>
    <t>CVE-2026-4046</t>
  </si>
  <si>
    <t>libc-bin</t>
  </si>
  <si>
    <t>The iconv() function in the GNU C Library versions 2.43 and earlier maycrash due to an assertion failure when converting inputs from the IBM1390or IBM1399 character sets, which may be used to remotely crash anapplication.This vulnerability can be trivially mitigated by removing the IBM1390 andIBM1399 character sets from systems that do not need them.</t>
  </si>
  <si>
    <t>libc-gconv-modules-extra</t>
  </si>
  <si>
    <t>locales</t>
  </si>
  <si>
    <t>libc6</t>
  </si>
  <si>
    <t>CVE-2026-43490</t>
  </si>
  <si>
    <t>In the Linux kernel, the following vulnerability has been resolved:ksmbd: validate inherited ACE SID lengthsmb_inherit_dacl() walks the parent directory DACL loaded from thesecurity descriptor xattr. It verifies that each ACE contains the fixedSID header before using it, but does not verify that the variable-lengthSID described by sid.num_subauth is fully contained in the ACE.A malformed inheritable ACE can advertise more subauthorities than arepresent in the ACE. compare_sids() may then read past the ACE.smb_set_ace() also clamps the copied destination SID, but used theunchecked source SID count to compute the inherited ACE size. That couldadvance the temporary inherited ACE buffer pointer and nt_size accountingpast the allocated buffer.Fix this by validating the parent ACE SID count and SID length beforeusing the SID during inheritance. Compute the inherited ACE size from thecopied SID so the size matches the bounded destination SID. Reject theinherited DACL if size accumulation would overflow smb_acl.size or thesecurity descriptor allocation size.</t>
  </si>
  <si>
    <t>CVE-2026-43495</t>
  </si>
  <si>
    <t>In the Linux kernel, the following vulnerability has been resolved:net: wwan: t7xx: validate port_count against message length int7xx_port_enum_msg_handlert7xx_port_enum_msg_handler() uses the modem-supplied port_count field asa loop bound over port_msg-&gt;data[] without checking that the message buffercontains sufficient data. A modem sending port_count=65535 in a 12-bytebuffer triggers a slab-out-of-bounds read of up to 262140 bytes.Add a sizeof(*port_msg) check before accessing the port message headerfields to guard against undersized messages.Add a struct_size() check after extracting port_count and before the loop.In t7xx_parse_host_rt_data(), guard the rt_feature header read with aremaining-buffer check before accessing data_len, validate feat_data_lenagainst the actual remaining buffer to prevent OOB reads and signedinteger overflow on offset.Pass msg_len from both call sites: skb-&gt;len at the DPMAIF path afterskb_pull(), and the validated feat_data_len at the handshake path.</t>
  </si>
  <si>
    <t>CVE-2026-43497</t>
  </si>
  <si>
    <t>In the Linux kernel, the following vulnerability has been resolved:fbdev: udlfb: add vm_ops to dlfb_ops_mmap to prevent use-after-freedlfb_ops_mmap() uses remap_pfn_range() to map vmalloc framebuffer pagesto userspace but sets no vm_ops on the VMA. This means the kernel cannottrack active mmaps. When dlfb_realloc_framebuffer() replaces the backingbuffer via FBIOPUT_VSCREENINFO, existing mmap PTEs are not invalidated.On USB disconnect, dlfb_ops_destroy() calls vfree() on the old pageswhile userspace PTEs still reference them, resulting in a use-after-free:the process retains read/write access to freed kernel pages.Add vm_operations_struct with open/close callbacks that maintain anatomic mmap_count on struct dlfb_data. In dlfb_realloc_framebuffer(),check mmap_count and return -EBUSY if the buffer is currently mapped,preventing buffer replacement while userspace holds stale PTEs.Tested with PoC using dummy_hcd + raw_gadget USB device emulation.</t>
  </si>
  <si>
    <t>CVE-2026-43498</t>
  </si>
  <si>
    <t>In the Linux kernel, the following vulnerability has been resolved:accel/ivpu: Disallow re-exporting imported GEM objectsPrevent re-exporting of imported GEM buffers by adding a customprime_handle_to_fd callback that checks if the object is importedand returns -EOPNOTSUPP if so.Re-exporting imported GEM buffers causes loss of buffer flags settings,leading to incorrect device access and data corruption.</t>
  </si>
  <si>
    <t>CVE-2026-43502</t>
  </si>
  <si>
    <t>In the Linux kernel, the following vulnerability has been resolved:net/rds: handle zerocopy send cleanup before the message is queuedA zerocopy send can fail after user pages have been pinned but beforethe message is attached to the sending socket.The purge path currently infers zerocopy state from rm-&gt;m_rs, so anunqueued message can be cleaned up as if it owned normal payload pages.However, zerocopy ownership is really determined by the presence ofop_mmp_znotifier, regardless of whether the message has reached thesocket queue.Capture op_mmp_znotifier up front in rds_message_purge() and use it asthe cleanup discriminator. If the message is already associated with asocket, keep the existing completion path. Otherwise, drop the pinnedpage accounting directly and release the notifier before putting thepayload pages.This keeps early send failure cleanup consistent with the zerocopylifetime rules without changing the normal queued completion path.</t>
  </si>
  <si>
    <t>CVE-2026-4437</t>
  </si>
  <si>
    <t>Calling gethostbyaddr or gethostbyaddr_r with a configured nsswitch.confthat specifies the library's DNS backend in the GNU C Library version 2.34to version 2.43 could, with a crafted response from the configured DNSserver, result in a violation of the DNS specification that causes theapplication to treat a non-answer section of the DNS response as a validanswer.</t>
  </si>
  <si>
    <t>CVE-2026-45837</t>
  </si>
  <si>
    <t>In the Linux kernel, the following vulnerability has been resolved:bpf: Fix use-after-free in arena_vm_close on forkarena_vm_open() only bumps vml-&gt;mmap_count but never registers thechild VMA in arena-&gt;vma_list. The vml-&gt;vma always points at theparent VMA, so after parent munmap the pointer dangles. If the childthen calls bpf_arena_free_pages(), zap_pages() reads the stalevml-&gt;vma triggering use-after-free.Fix this by preventing the arena VMA from being inherited acrossfork with VM_DONTCOPY, and preventing VMA splits via the may_splitcallback.Also reject mremap with a .mremap callback returning -EINVAL. Asame-size mremap(MREMAP_FIXED) on the full arena VMA reachescopy_vma() through the following path:  check_prep_vma()       - returns 0 early: new_len == old_len                           skips VM_DONTEXPAND check  prep_move_vma()        - vm_start == old_addr and                           vm_end == old_addr + old_len                           so may_split is never called  move_vma()    copy_vma_and_data()      copy_vma()        vm_area_dup()    - copies vm_private_data (vml pointer)        vm_ops-&gt;open()   - bumps vml-&gt;mmap_count      vm_ops-&gt;mremap()   - returns -EINVAL, rollback unmaps new VMAThe refcount ensures the rollback's arena_vm_close does not freethe vml shared with the original VMA.</t>
  </si>
  <si>
    <t>CVE-2026-45839</t>
  </si>
  <si>
    <t>In the Linux kernel, the following vulnerability has been resolved:bpf: reject negative CO-RE accessor indices in bpf_core_parse_spec()CO-RE accessor strings are colon-separated indices that describe a pathfrom a root BTF type to a target field, e.g. "0:1:2" walks throughnested struct members. bpf_core_parse_spec() parses each component withsscanf("%d"), so negative values like -1 are silently accepted.  Thesubsequent bounds checks (access_idx &gt;= btf_vlen(t)) only guard theupper bound and always pass for negative values because C integerpromotion converts the __u16 btf_vlen result to int, making thecomparison (int)(-1) &gt;= (int)(N) false for any positive N.When -1 reaches btf_member_bit_offset() it gets cast to u32 0xffffffff,producing an out-of-bounds read far past the members array.  A craftedBPF program with a negative CO-RE accessor on any struct that exists invmlinux BTF (e.g. task_struct) crashes the kernel deterministicallyduring BPF_PROG_LOAD on any system with CONFIG_DEBUG_INFO_BTF=y(default on major distributions).  The bug is reachable with CAP_BPF: BUG: unable to handle page fault for address: ffffed11818b6626 #PF: supervisor read access in kernel mode #PF: error_code(0x0000) - not-present page Oops: Oops: 0000 [#1] SMP KASAN NOPTI CPU: 0 UID: 0 PID: 85 Comm: poc Not tainted 7.0.0-rc6 #18 PREEMPT(full) RIP: 0010:bpf_core_parse_spec (tools/lib/bpf/relo_core.c:354) RAX: 00000000ffffffff Call Trace:  &lt;TASK&gt;  bpf_core_calc_relo_insn (tools/lib/bpf/relo_core.c:1321)  bpf_core_apply (kernel/bpf/btf.c:9507)  check_core_relo (kernel/bpf/verifier.c:19475)  bpf_check (kernel/bpf/verifier.c:26031)  bpf_prog_load (kernel/bpf/syscall.c:3089)  __sys_bpf (kernel/bpf/syscall.c:6228)  &lt;/TASK&gt;CO-RE accessor indices are inherently non-negative (struct member index,array element index, or enumerator index), so reject them immediatelyafter parsing.</t>
  </si>
  <si>
    <t>CVE-2026-45843</t>
  </si>
  <si>
    <t>In the Linux kernel, the following vulnerability has been resolved:slip: bound decode() reads against the compressed packet lengthslhc_uncompress() parses a VJ-compressed TCP header by advancing apointer through the packet via decode() and pull16(). Neither helperbounds-checks against isize, and decode() masks its return with&amp; 0xffff so it can never return the -1 that callers test for -- thoseerror paths are dead code.A short compressed frame whose change byte requests optional fieldslets decode() read past the end of the packet. The over-read bytesare folded into the cached cstate and reflected into subsequentreconstructed packets.Make decode() and pull16() take the packet end pointer and return -1when exhausted. Add a bounds check before the TCP-checksum read.The existing == -1 tests now do what they were always meant to.</t>
  </si>
  <si>
    <t>CVE-2026-46055</t>
  </si>
  <si>
    <t>In the Linux kernel, the following vulnerability has been resolved:apparmor: Fix string overrun due to missing terminationWhen booting Ubuntu 26.04 with Linux 7.0-rc4 on an ARM64 QualcommSnapdragon X1 we see a string buffer overrun:BUG: KASAN: slab-out-of-bounds in aa_dfa_match(security/apparmor/match.c:535)Read of size 1 at addr ffff0008901cc000 by task snap-update-ns/2120CPU: 5 UID: 60578 PID: 2120 Comm: snap-update-ns Not tainted 7.0.0-rc4+ #22PREEMPTLAZYHardware name: LENOVO 83ED/LNVNB161216, BIOS NHCN60WW 09/11/2025Call trace:show_stack (arch/arm64/kernel/stacktrace.c:501) (C)dump_stack_lvl (lib/dump_stack.c:122)print_report (mm/kasan/report.c:379 mm/kasan/report.c:482)kasan_report (mm/kasan/report.c:597)__asan_report_load1_noabort (mm/kasan/report_generic.c:378)aa_dfa_match (security/apparmor/match.c:535)match_mnt_path_str (security/apparmor/mount.c:244security/apparmor/mount.c:336)match_mnt (security/apparmor/mount.c:371)aa_bind_mount (security/apparmor/mount.c:447 (discriminator 4))apparmor_sb_mount (security/apparmor/lsm.c:719 (discriminator 1))security_sb_mount (security/security.c:1062 (discriminator 31))path_mount (fs/namespace.c:4101)__arm64_sys_mount (fs/namespace.c:4172 fs/namespace.c:4361fs/namespace.c:4338 fs/namespace.c:4338)invoke_syscall.constprop.0 (arch/arm64/kernel/syscall.c:35arch/arm64/kernel/syscall.c:49)el0_svc_common.constprop.0 (./include/linux/thread_info.h:142(discriminator 2) arch/arm64/kernel/syscall.c:140 (discriminator 2))do_el0_svc (arch/arm64/kernel/syscall.c:152)el0_svc (arch/arm64/kernel/entry-common.c:80arch/arm64/kernel/entry-common.c:725)el0t_64_sync_handler (arch/arm64/kernel/entry-common.c:744)el0t_64_sync (arch/arm64/kernel/entry.S:596)Allocated by task 2120:kasan_save_stack (mm/kasan/common.c:58)kasan_save_track (./arch/arm64/include/asm/current.h:19mm/kasan/common.c:70 mm/kasan/common.c:79)kasan_save_alloc_info (mm/kasan/generic.c:571)__kasan_kmalloc (mm/kasan/common.c:419)__kmalloc_noprof (./include/linux/kasan.h:263 mm/slub.c:5260mm/slub.c:5272)aa_get_buffer (security/apparmor/lsm.c:2201)aa_bind_mount (security/apparmor/mount.c:442)apparmor_sb_mount (security/apparmor/lsm.c:719 (discriminator 1))security_sb_mount (security/security.c:1062 (discriminator 31))path_mount (fs/namespace.c:4101)__arm64_sys_mount (fs/namespace.c:4172 fs/namespace.c:4361fs/namespace.c:4338 fs/namespace.c:4338)invoke_syscall.constprop.0 (arch/arm64/kernel/syscall.c:35arch/arm64/kernel/syscall.c:49)el0_svc_common.constprop.0 (./include/linux/thread_info.h:142(discriminator 2) arch/arm64/kernel/syscall.c:140 (discriminator 2))do_el0_svc (arch/arm64/kernel/syscall.c:152)el0_svc (arch/arm64/kernel/entry-common.c:80arch/arm64/kernel/entry-common.c:725)el0t_64_sync_handler (arch/arm64/kernel/entry-common.c:744)el0t_64_sync (arch/arm64/kernel/entry.S:596)The buggy address belongs to the object at ffff0008901ca000which belongs to the cache kmalloc-rnd-06-8k of size 8192The buggy address is located 0 bytes to the right ofallocated 8192-byte region [ffff0008901ca000, ffff0008901cc000)The buggy address belongs to the physical page:page: refcount:0 mapcount:0 mapping:0000000000000000 index:0x0 pfn:0x9101c8head: order:3 mapcount:0 entire_mapcount:0 nr_pages_mapped:-1 pincount:0flags: 0x8000000000000040(head|zone=2)page_type: f5(slab)raw: 8000000000000040 ffff000800016c40 fffffdffe2d14e10 ffff000800015c70raw: 0000000000000000 0000000800010001 00000000f5000000 0000000000000000head: 8000000000000040 ffff000800016c40 fffffdffe2d14e10 ffff000800015c70head: 0000000000000000 0000000800010001 00000000f5000000 0000000000000000head: 8000000000000003 fffffdffe2407201 fffffdffffffffff 00000000ffffffffhead: ffffffffffffffff 0000000000000000 00000000ffffffff 0000000000000008page dumped because: kasan: bad access detectedMemory state around the buggy address:ffff0008901cbf00: 00 00 00 00 00 00 00 00 00 00 00 00 00 00 00 00ffff0008---truncated---</t>
  </si>
  <si>
    <t>CVE-2026-46105</t>
  </si>
  <si>
    <t>In the Linux kernel, the following vulnerability has been resolved:scsi: mpt3sas: Limit NVMe request size to 2 MiBThe HBA firmware reports NVMe MDTS values based on the underlying drivecapability. However, because the driver allocates a fixed 4K buffer forthe PRP list, accommodating at most 512 entries, the driver supports amaximum I/O transfer size of 2 MiB.Limit max_hw_sectors to the smaller of the reported MDTS and the 2 MiBdriver limit to prevent issuing oversized I/O that may lead to a kerneloops.</t>
  </si>
  <si>
    <t>CVE-2026-46107</t>
  </si>
  <si>
    <t>In the Linux kernel, the following vulnerability has been resolved:dm-thin: fix metadata refcount underflowThere's a bug in dm-thin in the function rebalance_children. If theinternal btree node has one entry, the code tries to copy all btreeentries from the node's child to the node itself and then decrement thechild's reference count.If the child node is shared (it has reference count &gt; 1), we won't freeit, so there would be two pointers to each of the grandchildren nodes.But the reference counts of the grandchildren is not increased, thus thereference count doesn't match the number of pointers that point to thegrandchildren. This results in "device mapper: space map common: unableto decrement block" errors.Fix this bug by incrementing reference counts on the grandchildren if thebtree node is shared.</t>
  </si>
  <si>
    <t>CVE-2026-46110</t>
  </si>
  <si>
    <t>In the Linux kernel, the following vulnerability has been resolved:net: stmmac: Prevent NULL deref when RX memory exhaustedThe CPU receives frames from the MAC through conventional DMA: the CPUallocates buffers for the MAC, then the MAC fills them and returnsownership to the CPU. For each hardware RX queue, the CPU and MACcoordinate through a shared ring array of DMA descriptors: onedescriptor per DMA buffer. Each descriptor includes the buffer'sphysical address and a status flag ("OWN") indicating which side ownsthe buffer: OWN=0 for CPU, OWN=1 for MAC. The CPU is only allowed to setthe flag and the MAC is only allowed to clear it, and both must movethrough the ring in sequence: thus the ring is used for both"submissions" and "completions."In the stmmac driver, stmmac_rx() bookmarks its position in the ringwith the `cur_rx` index. The main receive loop in that function checksfor rx_descs[cur_rx].own=0, gives the corresponding buffer to thenetwork stack (NULLing the pointer), and increments `cur_rx` modulo thering size. After the loop exits, stmmac_rx_refill(), which bookmarks itsposition with `dirty_rx`, allocates fresh buffers and rearms thedescriptors (setting OWN=1). If it fails any allocation, it simply stopsearly (leaving OWN=0) and will retry where it left off when next called.This means descriptors have a three-stage lifecycle (terms my own):- `empty` (OWN=1, buffer valid)- `full` (OWN=0, buffer valid and populated)- `dirty` (OWN=0, buffer NULL)But because stmmac_rx() only checks OWN, it confuses `full`/`dirty`. Inthe past (see 'Fixes:'), there was a bug where the loop could cycle`cur_rx` all the way back to the first descriptor it dirtied, resultingin a NULL dereference when mistaken for `full`. The aforementionedcommit resolved that *specific* failure by capping the loop's iterationlimit at `dma_rx_size - 1`, but this is only a partial fix: if theprevious stmmac_rx_refill() didn't complete, then there are leftover`dirty` descriptors that the loop might encounter without needing tocycle fully around. The current code therefore panics (see 'Closes:')when stmmac_rx_refill() is memory-starved long enough for `cur_rx` tocatch up to `dirty_rx`.Fix this by explicitly checking, before advancing `cur_rx`, if the nextentry is dirty; exit the loop if so. This prevents processing of thefinal, used descriptor until stmmac_rx_refill() succeeds, butfully prevents the `cur_rx == dirty_rx` ambiguity as the previous bugfixintended: so remove the clamp as well. Since stmmac_rx_zc() is acopy-paste-and-tweak of stmmac_rx() and the code structure is identical,any fix to stmmac_rx() will also need a corresponding fix forstmmac_rx_zc(). Therefore, apply the same check there.In stmmac_rx() (not stmmac_rx_zc()), a related bug remains: after theMAC sets OWN=0 on the final descriptor, it will be unable to send anyfurther DMA-complete IRQs until it's given more `empty` descriptors.Currently, the driver simply *hopes* that the next stmmac_rx_refill()succeeds, risking an indefinite stall of the receive process if not. Butthis is not a regression, so it can be addressed in a future change.</t>
  </si>
  <si>
    <t>CVE-2026-46111</t>
  </si>
  <si>
    <t>In the Linux kernel, the following vulnerability has been resolved:Bluetooth: hci_conn: fix potential UAF in create_big_syncAdd hci_conn_valid() check in create_big_sync() to detect staleconnections before proceeding with BIG creation. Handle theresulting -ECANCELED in create_big_complete() and re-validate theconnection under hci_dev_lock() before dereferencing, matching thepattern used by create_le_conn_complete() and create_pa_complete().Keep the hci_conn object alive across the async boundary by takinga reference via hci_conn_get() when queueing create_big_sync(), anddropping it in the completion callback. The refcount and the lockare complementary: the refcount keeps the object allocated, whilehci_dev_lock() serializes hci_conn_hash_del()'s list_del_rcu() onhdev-&gt;conn_hash, as required by hci_conn_del().hci_conn_put() is called outside hci_dev_unlock() so the final put(which resolves to kfree() via bt_link_release) does not run underhdev-&gt;lock, though the release path would be safe either way.Without this, create_big_complete() would unconditionallydereference the conn pointer on error, causing a use-after-freevia hci_connect_cfm() and hci_conn_del().</t>
  </si>
  <si>
    <t>CVE-2026-46112</t>
  </si>
  <si>
    <t>In the Linux kernel, the following vulnerability has been resolved:RDMA/hns: Fix unlocked call to hns_roce_qp_remove()Sashiko points out that hns_roce_qp_remove() requires the caller to holdlocks.  The error flow in hns_roce_create_qp_common() doesn't hold thoselocks for the error unwind so it risks corrupting memory.Grab the same locks the other two callers use.</t>
  </si>
  <si>
    <t>CVE-2026-46113</t>
  </si>
  <si>
    <t>In the Linux kernel, the following vulnerability has been resolved:KVM: x86: Fix shadow paging use-after-free due to unexpected GFNThe shadow MMU computes GFNs for direct shadow pages using sp-&gt;gfn plusthe SPTE index. This assumption breaks for shadow paging if the guestpage tables are modified between VM entries (similar to commitaad885e77496, "KVM: x86/mmu: Drop/zap existing present SPTE evenwhen creating an MMIO SPTE", 2026-03-27).  The flow is as follows:- a PDE is installed for a 2MB mapping, and a page in that area is  accessed.  KVM creates a kvm_mmu_page consisting of 512 4KB pages;  the kvm_mmu_page is marked by FNAME(fetch) as direct-mapped because  the guest's mapping is a huge page (and thus contiguous).- the PDE mapping is changed from outside the guest.- the guest accesses another page in the same 2MB area.  KVM installs  a new leaf SPTE and rmap entry; the SPTE uses the "correct" GFN  (i.e. based on the new mapping, as changed in the previous step) but  that GFN is outside of the [sp-&gt;gfn, sp-&gt;gfn + 511] range; therefore  the rmap entry cannot be found and removed when the kvm_mmu_page  is zapped.- the memslot that covers the first 2MB mapping is deleted, and the  kvm_mmu_page for the now-invalid GPA is zapped.  However, rmap_remove()  only looks at the [sp-&gt;gfn, sp-&gt;gfn + 511] range established in step 1,  and fails to find the rmap entry that was recorded by step 3.- any operation that causes an rmap walk for the same page accessed  by step 3 then walks a stale rmap and dereferences a freed kvm_mmu_page.  This includes dirty logging or MMU notifier invalidations (e.g., from  MADV_DONTNEED).The underlying issue is that KVM's walking of shadow PTEs assumes thatif a SPTE is present when KVM wants to install a non-leaf SPTE, then theexisting kvm_mmu_page must be for the correct gfn.  Because the only wayfor the gfn to be wrong is if KVM messed up and failed to zap a SPTE...which shouldn't happen, but *actually* only happens in response to aguest write.That bug dates back literally forever, as even the first version of KVMassumes that the GFN matches and walks into the "wrong" shadow page.However, that was only an imprecision until 2032a93d66fa ("KVM: MMU:Don't allocate gfns page for direct mmu pages") came along.Fix it by checking for a target gfn mismatch and zapping the existingSPTE.  That way the old SP and rmap entries are gone, KVM installsthe rmap in the right location, and everyone is happy.</t>
  </si>
  <si>
    <t>CVE-2026-46114</t>
  </si>
  <si>
    <t>In the Linux kernel, the following vulnerability has been resolved:RDMA/rxe: Reject non-8-byte ATOMIC_WRITE payloadsatomic_write_reply() at drivers/infiniband/sw/rxe/rxe_resp.cunconditionally dereferences 8 bytes at payload_addr(pkt):    value = *(u64 *)payload_addr(pkt);check_rkey() previously accepted an ATOMIC_WRITE request with pktlen ==resid == 0 because the length validation only compared pktlen againstresid. A remote initiator that sets the RETH length to 0 therefore reachesatomic_write_reply() with a zero-byte logical payload, and the responderreads sizeof(u64) bytes from past the logical end of the packet intoskb-&gt;head tailroom, then writes those 8 bytes into the attacker's MR viarxe_mr_do_atomic_write(). That is a remote disclosure of 4 bytes of kerneltailroom per probe (the other 4 bytes are the packet's own trailing ICRC).IBA oA19-28 defines ATOMIC_WRITE as exactly 8 bytes. Anything else isprotocol-invalid. Hoist a strict length check into check_rkey() so theresponder never reaches the unchecked dereference, and keep the existingWRITE-family length logic for the normal RDMA WRITE path.Reproduced on mainline with an unmodified rxe driver: a sustainedzero-length ATOMIC_WRITE probe repeatedly leaks adjacent skb head-bufferbytes into the attacker's MR, including recognisable kernel strings andpartial kernel-direct-map pointer words.  With this patch applied theresponder rejects the PDU and the MR stays all-zero.</t>
  </si>
  <si>
    <t>CVE-2026-46116</t>
  </si>
  <si>
    <t>In the Linux kernel, the following vulnerability has been resolved:xfrm: defensively unhash xfrm_state lists in __xfrm_state_deleteKASAN reproduces a slab-use-after-free in __xfrm_state_delete()'shlist_del_rcu calls under syzkaller load on linux-6.12.y stable(reproduced on 6.12.47, also reachable via the same code path ontorvalds/master and on the ipsec tree). Nine unique signatures clusterin the xfrm_state lifecycle, the load-bearing one being:  BUG: KASAN: slab-use-after-free in __hlist_del include/linux/list.h:990[inline]  BUG: KASAN: slab-use-after-free in hlist_del_rcuinclude/linux/rculist.h:516 [inline]  BUG: KASAN: slab-use-after-free in __xfrm_state_deletenet/xfrm/xfrm_state.c  Write of size 8 at addr ffff8881198bcb70 by task kworker/u8:9/435  Workqueue: netns cleanup_net  Call Trace:   __hlist_del / hlist_del_rcu   __xfrm_state_delete   xfrm_state_delete   xfrm_state_flush   xfrm_state_fini   ops_exit_list   cleanup_netThe other observed signatures hit the same slab object from__xfrm_state_lookup, xfrm_alloc_spi, __xfrm_state_insert and an OOBwrite variant of __xfrm_state_delete, all on the byseq/byspihash chains.__xfrm_state_delete() guards its byseq and byspi unhashes withvalue-based predicates:if (x-&gt;km.seq)hlist_del_rcu(&amp;x-&gt;byseq);if (x-&gt;id.spi)hlist_del_rcu(&amp;x-&gt;byspi);while everywhere else in the file (e.g. state_cache, state_cache_input)the safer hlist_unhashed() check is used. xfrm_alloc_spi() setsx-&gt;id.spi = newspi inside xfrm_state_lock and then immediately insertsinto byspi, but a path that observes x-&gt;id.spi != 0 outside ofxfrm_state_lock can still skip-or-hit the byspi unhash inconsistentlywith whether x is actually on the list. The same holds for x-&gt;km.seqversus byseq, and the bydst/bysrc unhashes have no predicate at all,so a second __xfrm_state_delete() on the same object writes throughLIST_POISON pprev.The defensive change here:  - Use hlist_del_init_rcu() instead of hlist_del_rcu() on bydst,    bysrc, byseq and byspi so a second deletion is a no-op rather    than a write through LIST_POISON pprev. The byseq/byspi nodes    are already initialised in xfrm_state_alloc().  - Test hlist_unhashed() rather than the value predicate for    byseq/byspi, so the unhash decision tracks list state rather than    mutable scalar fields.Empirical verification: applied this patch on top of v6.12.47, rebuilt,and re-ran the same syzkaller harness for 1h16m on a previously-crashyconfiguration that produced ~100 hits each of slab-use-after-freeRead in xfrm_alloc_spi / Read in __xfrm_state_lookup / Write in__xfrm_state_delete. After the patch, 7.1M execs across 32 VMs at~1550 exec/sec produced zero xfrm_state UAF/OOB hits. /proc/slabinfoconfirms the xfrm_state slab is actively allocated and freed duringthe run (~143 KiB resident), so the fuzzer is still exercising thosecode paths -- they just no longer crash.Reproduction:  - Linux 6.12.47 x86_64 + KASAN_GENERIC + KASAN_INLINE + KCOV  - syzkaller @ 746545b8b1e4c3a128db8652b340d3df90ce61db  - 32 QEMU/KVM VMs x 2 vCPU on AWS c5.metal bare metal  - 9 unique signatures collected in ~9h, all within xfrm_state    lifecycle</t>
  </si>
  <si>
    <t>CVE-2026-46117</t>
  </si>
  <si>
    <t>In the Linux kernel, the following vulnerability has been resolved:RDMA/mana: Remove user triggerable WARN_ON() in mana_ib_create_qp_rss()Sashiko points out that the user can specify WQs sharing the same CQ as apart of the uAPI and this will trigger the WARN_ON() then go on to corruptthe kernel.Just reject it outright and fail the QP creation.</t>
  </si>
  <si>
    <t>CVE-2026-46120</t>
  </si>
  <si>
    <t>In the Linux kernel, the following vulnerability has been resolved:ip6_gre: Use cached t-&gt;net in ip6erspan_changelink().After commit 5e72ce3e3980 ("net: ipv6: Use link netns in newlink() ofrtnl_link_ops"), ip6erspan_newlink() correctly resolves the per-netnsip6gre hash via link_net. ip6erspan_changelink() was not converted inthat series and still uses dev_net(dev), which diverges from thedevice's creation netns after IFLA_NET_NS_FD migration.This re-inserts the tunnel into the wrong per-netns hash. Theoriginal netns keeps a stale entry. When that netns is laterdestroyed, ip6gre_exit_rtnl_net() walks the stale entry, producing aslab-use-after-free reported by KASAN, followed by a kernel BUG atnet/core/dev.c (LIST_POISON1) in unregister_netdevice_many_notify().Reachable from an unprivileged user namespace (unshare --user--map-root-user --net).ip6gre_changelink() earlier in the same file already uses the cachedt-&gt;net; only ip6erspan_changelink() has the wrong shape.</t>
  </si>
  <si>
    <t>CVE-2026-46121</t>
  </si>
  <si>
    <t>In the Linux kernel, the following vulnerability has been resolved:mm/damon/sysfs-schemes: protect memcg_path kfree() with damon_sysfs_lockPatch series "mm/damon/sysfs-schemes: fix use-after-free for [memcg_]path".Reads of 'memcg_path' and 'path' files in DAMON sysfs interface could racewith their writes, results in use-after-free.  Fix those.This patch (of 2):damon_sysfs_scheme_filter-&gt;mmecg_path can be read and written by users,via DAMON sysfs memcg_path file.  It can also be indirectly read, for theparameters {on,off}line committing to DAMON.  The reads for parameterscommitting are protected by damon_sysfs_lock to avoid the sysfs filesbeing destroyed while any of the parameters are being read.  But theuser-driven direct reads and writes are not protected by any lock, whilethe write is deallocating the memcg_path-pointing buffer.  As a result,the readers could read the already freed buffer (user-after-free).  Notethat the user-reads don't race when the same open file is used by thewriter, due to kernfs's open file locking.  Nonetheless, doing the readsand writes with separate open files would be common.  Fix it by protectingboth the user-direct reads and writes with damon_sysfs_lock.</t>
  </si>
  <si>
    <t>CVE-2026-46122</t>
  </si>
  <si>
    <t>In the Linux kernel, the following vulnerability has been resolved:wifi: b43: enforce bounds check on firmware key index in b43_rx()The firmware-controlled key index in b43_rx() can exceed the dev-&gt;key[]array size (58 entries). The existing B43_WARN_ON is non-enforcing inproduction builds, allowing an out-of-bounds read.Make the B43_WARN_ON check enforcing by dropping the frame when thefirmware returns an invalid key index.</t>
  </si>
  <si>
    <t>CVE-2026-46123</t>
  </si>
  <si>
    <t>In the Linux kernel, the following vulnerability has been resolved:Bluetooth: virtio_bt: clamp rx length before skb_putvirtbt_rx_work() calls skb_put(skb, len) where len comes directlyfrom virtqueue_get_buf() with no validation against the buffer weposted to the device. The RX skb is allocated in virtbt_add_inbuf()and exposed to virtio as exactly 1000 bytes via sg_init_one().Checking len against skb_tailroom(skb) is not sufficient becausealloc_skb() can leave more tailroom than the 1000 bytes actuallyhanded to the device. A malicious or buggy backend can thereforereport used.len between 1001 and skb_tailroom(skb), causing skb_put()to include uninitialized kernel heap bytes that were never written bythe device.The same path also accepts len == 0, in which case skb_put(skb, 0)leaves the skb empty but virtbt_rx_handle() still reads the pkt_typebyte from skb-&gt;data, consuming uninitialized memory.Define VIRTBT_RX_BUF_SIZE once and reuse it in alloc_skb() andsg_init_one(), and gate virtbt_rx_work() on that same constant sothe bound checked matches the buffer actually exposed to the device.Reject used.len == 0 in the same gate so an empty completion canno longer reach virtbt_rx_handle().Use bt_dev_err_ratelimited() because the length value comes from anuntrusted backend that can otherwise flood the kernel log.Same class of bug as commit c04db81cd028 ("net/9p: Fix bufferoverflow in USB transport layer"), which hardened the USB 9ptransport against unchecked device-reported length.</t>
  </si>
  <si>
    <t>CVE-2026-46124</t>
  </si>
  <si>
    <t>In the Linux kernel, the following vulnerability has been resolved:isofs: validate block number from NFS file handle in isofs_export_igetisofs_fh_to_dentry() and isofs_fh_to_parent() pass an attacker-controlled block number (ifid-&gt;block or ifid-&gt;parent_block) fromthe NFS file handle to isofs_export_iget(), which only rejectsblock == 0 before calling isofs_iget() and ultimately sb_bread().A crafted file handle with fh_len sufficient to pass the checkadded by commit 0405d4b63d08 ("isofs: Prevent the use of too smallfid") can still drive the server to read any in-range block on thebacking device as if it were an iso_directory_record.  That earlierfix was assigned CVE-2025-37780.sb_bread() on an out-of-range block returns NULL cleanly via theEIO path, so there is no memory-safety violation.  For in-rangereads of adjacent-partition data on the same block device, theunrelated bytes end up in iso_inode_info fields that reach the NFSclient as dentry metadata.  The deployment surface (isofs exportedover NFS from loop-mounted images) is narrow and requires anauthenticated NFS peer, but the malformed-file-handle class isreportable as hardening next to the existing CVE-2025-37780 fix.Reject block &gt;= ISOFS_SB(sb)-&gt;s_nzones in isofs_export_iget() sothe check covers both isofs_fh_to_dentry() and isofs_fh_to_parent()call sites with a single line.</t>
  </si>
  <si>
    <t>CVE-2026-46125</t>
  </si>
  <si>
    <t>In the Linux kernel, the following vulnerability has been resolved:wifi: mac80211: remove station if connection prep failsIf connection preparation fails for MLO connections, then theinterface is completely reset to non-MLD. In this case, we mustnot keep the station since it's related to the link of the vifbeing removed. Delete an existing station. Any "new_sta" isalready being removed, so that doesn't need changes.This fixes a use-after-free/double-free in debugfs if that'senabled, because a vif going from MLD (and to MLD, but that'snot relevant here) recreates its entire debugfs.</t>
  </si>
  <si>
    <t>CVE-2026-46129</t>
  </si>
  <si>
    <t>In the Linux kernel, the following vulnerability has been resolved:btrfs: fix double free in create_space_info() error pathWhen kobject_init_and_add() fails, the call chain is:create_space_info()-&gt; btrfs_sysfs_add_space_info_type()-&gt; kobject_init_and_add()-&gt; failure-&gt; kobject_put(&amp;space_info-&gt;kobj)-&gt; space_info_release()-&gt; kfree(space_info)Then control returns to create_space_info():btrfs_sysfs_add_space_info_type() returns error-&gt; goto out_free-&gt; kfree(space_info)This causes a double free.Keep the direct kfree(space_info) for the earlier failure path, butafter btrfs_sysfs_add_space_info_type() has called kobject_put(), letthe kobject release callback handle the cleanup.</t>
  </si>
  <si>
    <t>CVE-2026-46130</t>
  </si>
  <si>
    <t>In the Linux kernel, the following vulnerability has been resolved:dm-verity-fec: fix reading parity bytes split across blocks (take 3)fec_decode_bufs() assumes that the parity bytes of the first RS codewordit decodes are never split across parity blocks.This assumption is false.  Consider v-&gt;fec-&gt;block_size == 4096 &amp;&amp;v-&gt;fec-&gt;roots == 17 &amp;&amp; fio-&gt;nbufs == 1, for example.  In that case, eachcall to fec_decode_bufs() consumes v-&gt;fec-&gt;roots * (fio-&gt;nbufs &lt;&lt;DM_VERITY_FEC_BUF_RS_BITS) = 272 parity bytes.Considering that the parity data for each message block starts on ablock boundary, the byte alignment in the parity data will iteratethrough 272*i mod 4096 until the 3 parity blocks have been consumed.  Onthe 16th call (i=15), the alignment will be 4080 bytes into the firstblock.  Only 16 bytes remain in that block, but 17 parity bytes will beneeded.  The code reads out-of-bounds from the parity block buffer.Fortunately this doesn't normally happen, since it can occur only forcertain non-default values of fec_roots *and* when the maximum number ofbuffers couldn't be allocated due to low memory.  For example withblock_size=4096 only the following cases are affected:    fec_roots=17: nbufs in [1, 3, 5, 15]    fec_roots=19: nbufs in [1, 229]    fec_roots=21: nbufs in [1, 3, 5, 13, 15, 39, 65, 195]    fec_roots=23: nbufs in [1, 89]Regardless, fix it by refactoring how the parity blocks are read.</t>
  </si>
  <si>
    <t>CVE-2026-46133</t>
  </si>
  <si>
    <t>In the Linux kernel, the following vulnerability has been resolved:RDMA/rxe: Reject unknown opcodes before ICRC processingEven after applying commit 7244491dab34 ("RDMA/rxe: Validate pad and ICRCbefore payload_size() in rxe_rcv"), a single unauthenticated UDP packetcan still trigger panic.  That patch handled payload_size() underflow onlyfor valid opcodes with short packets, not for packets carrying an unknownopcode.  The unknown-opcode OOB read described below predates that commitand reaches back to the initial Soft RoCE driver.The check added there reads    pkt-&gt;paylen &lt; header_size(pkt) + bth_pad(pkt) + RXE_ICRC_SIZEwhere header_size(pkt) expands to rxe_opcode[pkt-&gt;opcode].length.  Therxe_opcode[] array has 256 entries but is only populated for defined IBopcodes; any other entry (for example opcode 0xff) is zero-initialized, solength == 0 and the check degenerates to    pkt-&gt;paylen &lt; 0 + bth_pad(pkt) + RXE_ICRC_SIZEwhich does not constrain pkt-&gt;paylen enough.  rxe_icrc_hdr() then computes    rxe_opcode[pkt-&gt;opcode].length - RXE_BTH_BYTESwhich underflows when length == 0 and passes a huge value to rxe_crc32(),causing an out-of-bounds read of the skb payload.Reproduced on v7.0-rc7 with that fix applied, QEMU/KVM withCONFIG_RDMA_RXE=y and CONFIG_KASAN=y, after    rdma link add rxe0 type rxe netdev eth0A single 48-byte UDP packet to port 4791 with BTH opcode=0xff andQPN=IB_MULTICAST_QPN triggers:    BUG: KASAN: slab-out-of-bounds in crc32_le+0x115/0x170    Read of size 1 at addr ...    The buggy address is located 0 bytes to the right of     allocated 704-byte region    Call Trace:     crc32_le+0x115/0x170     rxe_icrc_hdr.isra.0+0x226/0x300     rxe_icrc_check+0x13f/0x3a0     rxe_rcv+0x6e1/0x16e0     rxe_udp_encap_recv+0x20a/0x320     udp_queue_rcv_one_skb+0x7ed/0x12c0Subsequent packets with the same shape fault on unmapped memory and panicthe kernel.  The trigger requires only module load and "rdma link add"; noQP, no connection, and no authentication.Fix this by rejecting packets whose opcode has no rxe_opcode[] entry,detected via the zero mask or zero length, before any length arithmeticruns.</t>
  </si>
  <si>
    <t>CVE-2026-46136</t>
  </si>
  <si>
    <t>In the Linux kernel, the following vulnerability has been resolved:wifi: mt76: mt7921: fix a potential clc buffer length underflowThe buf_len is used to limit the iterations for retrieving the countrypower setting and may underflow under certain conditions due to changesin the power table in CLC.This underflow leads to an almost infinite loop or an invalid powersetting resulting in driver initialization failure.</t>
  </si>
  <si>
    <t>CVE-2026-46138</t>
  </si>
  <si>
    <t>In the Linux kernel, the following vulnerability has been resolved:Bluetooth: hci_event: Fix OOB read and infinite loop inhci_le_create_big_complete_evthci_le_create_big_complete_evt() iterates over BT_BOUND connections fora BIG handle using a while loop, accessing ev-&gt;bis_handle[i++] on eachiteration.  However, there is no check that i stays within ev-&gt;num_bisbefore the array access.When a controller sends a LE_Create_BIG_Complete event with fewerbis_handle entries than there are BT_BOUND connections for that BIG,or with num_bis=0, the loop reads beyond the valid bis_handle[] flexarray into adjacent heap memory.  Since the out-of-bounds valuestypically exceed HCI_CONN_HANDLE_MAX (0x0EFF), hci_conn_set_handle()rejects them and the connection remains in BT_BOUND state.  The sameconnection is then found again by hci_conn_hash_lookup_big_state(),creating an infinite loop with hci_dev_lock held.Fix this by terminating the BIG if in case not all BIS could be setupproperly.</t>
  </si>
  <si>
    <t>CVE-2026-46140</t>
  </si>
  <si>
    <t>In the Linux kernel, the following vulnerability has been resolved:Bluetooth: btmtk: validate WMT event SKB length before struct accessbtmtk_usb_hci_wmt_sync() casts the WMT event response SKB data tostruct btmtk_hci_wmt_evt (7 bytes) and struct btmtk_hci_wmt_evt_funcc(9 bytes) without first checking that the SKB contains enough data.A short firmware response causes out-of-bounds reads from SKB tailroom.Use skb_pull_data() to validate and advance past the base WMT eventheader. For the FUNC_CTRL case, pull the additional status field bytesbefore accessing them.</t>
  </si>
  <si>
    <t>CVE-2026-46145</t>
  </si>
  <si>
    <t>In the Linux kernel, the following vulnerability has been resolved:RDMA/mana: Validate rx_hash_key_lenSashiko points out that rx_hash_key_len comes from a uAPI structure and isblindly passed to memcpy, allowing the userspace to trash kernelmemory. Bounds check it so the memcpy cannot overflow.</t>
  </si>
  <si>
    <t>CVE-2026-46149</t>
  </si>
  <si>
    <t>In the Linux kernel, the following vulnerability has been resolved:scsi: target: configfs: Bound snprintf() return in tg_pt_gp_members_show()target_tg_pt_gp_members_show() formats LUN paths with snprintf() into a256-byte stack buffer, then will memcpy() cur_len bytes from thatbuffer.  snprintf() returns the length the output would have had, whichcan exceed the buffer size when the fabric WWN is long because iSCSI IQNnames can be up to 223 bytes.  The check at the memcpy() site onlyguards the destination page write, not the source read, so memcpy() willread past the stack buffer and copy adjacent stack contents to the sysfsreader, which when CONFIG_FORTIFY_SOURCE is enabled, fortify_panic()will be triggered.Commit 27e06650a5ea ("scsi: target: target_core_configfs: Add lengthcheck to avoid buffer overflow") added the same bound to thetarget_lu_gp_members_show() but the tg_pt_gp variant was missed soresolve that here.</t>
  </si>
  <si>
    <t>CVE-2026-46150</t>
  </si>
  <si>
    <t>In the Linux kernel, the following vulnerability has been resolved:fanotify: fix false positive on permission eventsfsnotify_get_mark_safe() may return false for a mark on an unrelated group,which results in bypassing the permission check.Fix by skipping over detached marks that are not in the current group.</t>
  </si>
  <si>
    <t>CVE-2026-46152</t>
  </si>
  <si>
    <t>In the Linux kernel, the following vulnerability has been resolved:wifi: mac80211: drop stray 'static' from fast-RX rx_resultieee80211_invoke_fast_rx() is documented as safe for parallel RX, butits per-invocation rx_result is declared static. Concurrent callers thenshare one instance and can overwrite each other's result betweenieee80211_rx_mesh_data() and the switch on res.That can make a packet that was queued or consumed byieee80211_rx_mesh_data() fall through into ieee80211_rx_8023(), or makea packet that should continue return as queued.Make res an automatic variable so each invocation keeps its own result.</t>
  </si>
  <si>
    <t>CVE-2026-46154</t>
  </si>
  <si>
    <t>In the Linux kernel, the following vulnerability has been resolved:sched_ext: Read scx_root under scx_cgroup_ops_rwsem in cgroup settersscx_group_set_{weight,idle,bandwidth}() cache scx_root before acquiringscx_cgroup_ops_rwsem, so the pointer can be stale by the time the op runs.If the loaded scheduler is disabled and freed (via RCU work) and another isenabled between the naked load and the rwsem acquire, the reader seesscx_cgroup_enabled=true (the new scheduler's) but dereferences the freedone- UAF on SCX_HAS_OP(sch, ...) / SCX_CALL_OP(sch, ...).scx_cgroup_enabled is toggled only under scx_cgroup_ops_rwsem write(scx_cgroup_{init,exit}), so reading scx_root inside the rwsem read sectioncorrelates @sch with the enabled snapshot.</t>
  </si>
  <si>
    <t>CVE-2026-46157</t>
  </si>
  <si>
    <t>In the Linux kernel, the following vulnerability has been resolved:ALSA: pcm: oss: Fix data race at accessing runtime.oss.triggerCurrently the runtime.oss.trigger field may be accessed concurrentlywithout protection, which may lead to the data race.  And, in thiscase, it may lead to more severe problem because it's a bit field; aswriting the data, it may overwrite other bit fields as well, whichconfuses the operation completely, as spotted by fuzzing.Fix it by covering runtime.oss.trigger bit fled also with the existingparams_lock mutex in both snd_pcm_oss_get_trigger() andsnd_pcm_oss_poll().</t>
  </si>
  <si>
    <t>CVE-2026-46162</t>
  </si>
  <si>
    <t>In the Linux kernel, the following vulnerability has been resolved:ice: fix double free in ice_sf_eth_activate() error pathWhen auxiliary_device_add() fails, ice_sf_eth_activate() jumps toaux_dev_uninit and calls auxiliary_device_uninit(&amp;sf_dev-&gt;adev).The device release callback ice_sf_dev_release() frees sf_dev, butthe current error path falls through to sf_dev_free and callskfree(sf_dev) again, causing a double free.Keep kfree(sf_dev) for the auxiliary_device_init() failure path, butavoid falling through to sf_dev_free after auxiliary_device_uninit().</t>
  </si>
  <si>
    <t>CVE-2026-46163</t>
  </si>
  <si>
    <t>In the Linux kernel, the following vulnerability has been resolved:wifi: b43legacy: enforce bounds check on firmware key index in RX pathSame fix as b43: the firmware-controlled key index in b43legacy_rx()can exceed dev-&gt;max_nr_keys. The existing B43legacy_WARN_ON isnon-enforcing in production builds, allowing an out-of-bounds read ofdev-&gt;key[].Make the check enforcing by dropping the frame for invalid indices.</t>
  </si>
  <si>
    <t>CVE-2026-46164</t>
  </si>
  <si>
    <t>In the Linux kernel, the following vulnerability has been resolved:btrfs: fix double free in create_space_info_sub_group() error pathWhen kobject_init_and_add() fails, the call chain is:create_space_info_sub_group()-&gt; btrfs_sysfs_add_space_info_type()-&gt; kobject_init_and_add()-&gt; failure-&gt; kobject_put(&amp;sub_group-&gt;kobj)-&gt; space_info_release()-&gt; kfree(sub_group)Then control returns to create_space_info_sub_group(), where:btrfs_sysfs_add_space_info_type() returns error-&gt; kfree(sub_group)Thus, sub_group is freed twice.Keep parent-&gt;sub_group[index] = NULL for the failure path, but afterbtrfs_sysfs_add_space_info_type() has called kobject_put(), let thekobject release callback handle the cleanup.</t>
  </si>
  <si>
    <t>CVE-2026-46166</t>
  </si>
  <si>
    <t>In the Linux kernel, the following vulnerability has been resolved:wifi: mac80211: use safe list iteration in radar detect workThe call to ieee80211_dfs_cac_cancel can cause the iterated chanctx tobe freed and removed from the list. Guard against this to avoid aslab-use-after-free error.</t>
  </si>
  <si>
    <t>CVE-2026-46173</t>
  </si>
  <si>
    <t>In the Linux kernel, the following vulnerability has been resolved:exit: prevent preemption of oopsing TASK_DEAD taskWhen an already-exiting task oopses, make_task_dead() currently callsdo_task_dead() with preemption enabled.  That is forbidden:do_task_dead() calls __schedule(), which has a comment saying "WARNING:must be called with preemption disabled!".If an oopsing task is preempted in do_task_dead(), between becomingTASK_DEAD and entering the scheduler explicitly, bad things happen:finish_task_switch() assumes that once the scheduler has switched awayfrom a TASK_DEAD task, the task can never run again and its stack is nolonger needed; but that assumption apparently doesn't hold if the deadtask was preempted (the SM_PREEMPT case).This means that the scheduler ends up repeatedly dropping references onthe dead task's stack, which can lead to use-after-free or double-freeof the entire task stack; in other words, two tasks can end up runningon the same stack, resulting in various kinds of memory corruption.(This does not just affect "recursively oopsing" tasks; it is enough tooops once during task exit, for example in a file_operations::releasehandler)</t>
  </si>
  <si>
    <t>CVE-2026-46174</t>
  </si>
  <si>
    <t>In the Linux kernel, the following vulnerability has been resolved:x86/CPU/AMD: Prevent improper isolation of shared resources in Zen2's opcacheMake sure resources are not improperly shared in the op cache andcause instruction corruption this way.</t>
  </si>
  <si>
    <t>CVE-2026-46175</t>
  </si>
  <si>
    <t>In the Linux kernel, the following vulnerability has been resolved:f2fs: fix fsck inconsistency caused by FGGC of node blockDuring FGGC node block migration, fsck may incorrectly treat themigrated node block as fsync-written data.The reproduction scenario:root@vm:/mnt/f2fs# seq 1 2048 | xargs -n 1 ./test_sync // write inlineinode and syncroot@vm:/mnt/f2fs# rm -f 1root@vm:/mnt/f2fs# syncroot@vm:/mnt/f2fs# f2fs_io gc_range // move data block in sync mode and notwrite CP  SPO, "fsck --dry-run" find inode has already checkpointed but still  with DENT_BIT_SHIFT setThe root cause is that GC does not clear the dentry mark and fsync markduring node block migration, leading fsck to misinterpret them asuser-issued fsync writes.In BGGC mode, node block migration is handled by f2fs_sync_node_pages(),which guarantees the dentry and fsync marks are cleared before writing.This patch move the set/clear of the fsync|dentry marks into__write_node_folio to make the logic clearer, and ensures thefsync|dentry mark is cleared in FGGC.</t>
  </si>
  <si>
    <t>CVE-2026-46176</t>
  </si>
  <si>
    <t>In the Linux kernel, the following vulnerability has been resolved:RDMA/mlx5: Fix error path fall-through in mlx5_ib_dev_res_srq_init()mlx5_ib_dev_res_srq_init() allocates two SRQs, s0 and s1. Whenib_create_srq() fails for s1, the error branch destroys s0 but fallsthrough and unconditionally assigns the freed s0 and the ERR_PTR s1 todevr-&gt;s0 and devr-&gt;s1.This leads to several problems: the lock-free fast path checks"if (devr-&gt;s1) return 0;" and treats the ERR_PTR as already initialised;users in mlx5_ib_create_qp() dereference the freed SRQ or ERR_PTR viato_msrq(devr-&gt;s0)-&gt;msrq.srqn; and mlx5_ib_dev_res_cleanup() dereferencesthe ERR_PTR and double-frees s0 on teardown.Fix by adding the same `goto unlock` in the s1 failure path.</t>
  </si>
  <si>
    <t>CVE-2026-46177</t>
  </si>
  <si>
    <t>In the Linux kernel, the following vulnerability has been resolved:ipmi: Add limits to event and receive message requestsThe driver would just fetch events and receive messages until theBMC said it was done.  To avoid issues with BMCs that never say they aredone, add a limit of 10 fetches at a time.In addition, an si interface has an attn state it can return from thehardware which is supposed to cause a flag fetch to see if the driverneeds to fetch events or message or a few other things.  If the attnbit gets stuck, it's a similar problem.  So allow messages in betweenflag fetches so the driver itself doesn't get stuck.This is a more general fix than the previous fix for the specific badBMC, but should fix the more general issue of a BMC that won't stopsaying it has data.This has been there from the beginning of the driver.  It's not a bugper-se, but it is accounting for bugs in BMCs.</t>
  </si>
  <si>
    <t>CVE-2026-46178</t>
  </si>
  <si>
    <t>In the Linux kernel, the following vulnerability has been resolved:RDMA/mlx4: Fix resource leak on error in mlx4_ib_create_srq()Sashiko points out that mlx4_srq_alloc() was not undone during errorunwind, add the missing call to mlx4_srq_free().</t>
  </si>
  <si>
    <t>CVE-2026-46180</t>
  </si>
  <si>
    <t>In the Linux kernel, the following vulnerability has been resolved:wifi: brcmfmac: Fix potential use-after-free issue when stopping watchdogtaskWatchdog task might end between send_sig() and kthread_stop() calls, whatresults in the use-after-free issue. Fix this by increasing watchdog taskreference count before calling send_sig() and dropping it by switching tokthread_stop_put().</t>
  </si>
  <si>
    <t>CVE-2026-46181</t>
  </si>
  <si>
    <t>In the Linux kernel, the following vulnerability has been resolved:RDMA/mlx4: Fix mis-use of RCU in mlx4_srq_event()Sashiko points out the radix_tree itself is RCU safe, but nothing everfrees the mlx4_srq struct with RCU, and it isn't even accessed within theRCU critical section. It also will crash if an event is delivered beforethe srq object is finished initializing.Use the spinlock since it isn't easy to make RCU work, userefcount_inc_not_zero() to protect against partially initialized objects,and order the refcount_set() to be after the srq is fully initialized.</t>
  </si>
  <si>
    <t>CVE-2026-46183</t>
  </si>
  <si>
    <t>In the Linux kernel, the following vulnerability has been resolved:mm/damon/sysfs-schemes: protect path kfree() with damon_sysfs_lockdamon_sysfs_quot_goal-&gt;path can be read and written by users, via DAMONsysfs 'path' file.  It can also be indirectly read, for the parameters{on,off}line committing to DAMON.  The reads for parameters committing areprotected by damon_sysfs_lock to avoid the sysfs files being destroyedwhile any of the parameters are being read.  But the user-driven directreads and writes are not protected by any lock, while the write isdeallocating the path-pointing buffer.  As a result, the readers couldread the already freed buffer (user-after-free).  Note that the user-readsdon't race when the same open file is used by the writer, due to kernfs'sopen file locking.  Nonetheless, doing the reads and writes with separateopen files would be common.  Fix it by protecting both the user-directreads and writes with damon_sysfs_lock.</t>
  </si>
  <si>
    <t>CVE-2026-46189</t>
  </si>
  <si>
    <t>In the Linux kernel, the following vulnerability has been resolved:RDMA/vmw_pvrdma: Fix double free on pvrdma_alloc_ucontext() error pathSashiko points out that pvrdma_uar_free() is already called withinpvrdma_dealloc_ucontext(), so calling it before triggers a double free.</t>
  </si>
  <si>
    <t>CVE-2026-46190</t>
  </si>
  <si>
    <t>In the Linux kernel, the following vulnerability has been resolved:mtd: spi-nor: debugfs: fix out-of-bounds read in spi_nor_params_show()Sashiko noticed an out-of-bounds read [1].In spi_nor_params_show(), the snor_f_names array is passed tospi_nor_print_flags() using sizeof(snor_f_names).Since snor_f_names is an array of pointers, sizeof() returns the totalnumber of bytes occupied by the pointers(element_count * sizeof(void *))rather than the element count itself. On 64-bit systems, this makes thepassed length 8x larger than intended.Inside spi_nor_print_flags(), the 'names_len' argument is used tobounds-check the 'names' array access. An out-of-bounds read occursif a flag bit is set that exceeds the array's actual element countbut is within the inflated byte-size count.Correct this by using ARRAY_SIZE() to pass the actual number ofstring pointers in the array.</t>
  </si>
  <si>
    <t>CVE-2026-46191</t>
  </si>
  <si>
    <t>In the Linux kernel, the following vulnerability has been resolved:fbcon: Avoid OOB font access if console rotation failsClear the font buffer if the reallocation during console rotation failsin fbcon_rotate_font(). The putcs implementations for the rotated bufferwill return early in this case. See [1] for an example.Currently, fbcon_rotate_font() keeps the old buffer, which is too smallfor the rotated font. Printing to the rotated console with a high-enoughcharacter code will overflow the font buffer.v2:- fix typos in commit message</t>
  </si>
  <si>
    <t>CVE-2026-46197</t>
  </si>
  <si>
    <t>In the Linux kernel, the following vulnerability has been resolved:drm/amdkfd: validate SVM ioctl nattr against buffer sizeValidate nattr field against the buffer size, preventingout-of-bounds buffer access via user-controlled attribute count.(cherry picked from commit 5eca8bfdfa456c3304ca77523718fe24254c172f)</t>
  </si>
  <si>
    <t>CVE-2026-46198</t>
  </si>
  <si>
    <t>In the Linux kernel, the following vulnerability has been resolved:batman-adv: fix integer overflow on buff_posFixing an integer overflow present in batadv_iv_ogm_send_to_if. The sizecheck is done using the int type in batadv_iv_ogm_aggr_packet whereas thebuff_pos variable uses the s16 type. This could lead to an out-of-boundread.</t>
  </si>
  <si>
    <t>CVE-2026-46199</t>
  </si>
  <si>
    <t>In the Linux kernel, the following vulnerability has been resolved:drm/amdgpu/vcn4: Prevent OOB reads when parsing dec msgCheck bounds against the end of the BO whenever we access the msg.</t>
  </si>
  <si>
    <t>CVE-2026-46201</t>
  </si>
  <si>
    <t>In the Linux kernel, the following vulnerability has been resolved:drm/xe: Fix dma-buf attachment leak in xe_gem_prime_import()When xe_dma_buf_init_obj() fails, the attachment fromdma_buf_dynamic_attach() is not detached. Add dma_buf_detach() beforereturning the error. Note: we cannot use goto out_err here becausexe_dma_buf_init_obj() already frees bo on failure, and out_err woulddouble-free it.(cherry picked from commit a828eb185aac41800df8eae4b60501ccc0dbbe51)</t>
  </si>
  <si>
    <t>CVE-2026-46203</t>
  </si>
  <si>
    <t>In the Linux kernel, the following vulnerability has been resolved:spi: cadence-quadspi: fix unclocked access on unbindMake sure that the controller is runtime resumed before disabling itduring driver unbind to avoid an unclocked register access.This issue was flagged by Sashiko when reviewing a controllerderegistration fix.</t>
  </si>
  <si>
    <t>CVE-2026-46204</t>
  </si>
  <si>
    <t>In the Linux kernel, the following vulnerability has been resolved:drm/amdgpu/vcn4: Prevent OOB reads when parsing IBRewrite the IB parsing to use amdgpu_ib_get_value() which handles thebounds checks.</t>
  </si>
  <si>
    <t>CVE-2026-46205</t>
  </si>
  <si>
    <t>In the Linux kernel, the following vulnerability has been resolved:staging: media: atomisp: Disallow all private IOCTLsDisallow all private IOCTLs. These aren't quite as safe as one couldassume of IOCTL handlers; disable them for now. Instead of removing thecode, return in the beginning of the function if cmd is non-zero in orderto keep static checkers happy.</t>
  </si>
  <si>
    <t>CVE-2026-46206</t>
  </si>
  <si>
    <t>In the Linux kernel, the following vulnerability has been resolved:batman-adv: reject new tp_meter sessions during teardownPrevent tp_meter from starting new sender or receiver sessions aftermesh_state has left BATADV_MESH_ACTIVE.</t>
  </si>
  <si>
    <t>CVE-2026-46208</t>
  </si>
  <si>
    <t>In the Linux kernel, the following vulnerability has been resolved:batman-adv: stop tp_meter sessions during mesh teardownTP meter sessions remain linked on bat_priv-&gt;tp_list after the netlinkrequest has already finished. When the mesh interface is removed,batadv_mesh_free() currently tears down the mesh without first drainingthese sessions.A running sender thread or a late incoming tp_meter packet can then keepprocessing against a mesh instance which is already shutting down.Synchronize tp_meter with the mesh lifetime by stopping all activesessions from batadv_mesh_free() and waiting for sender threads to exitbefore teardown continues.</t>
  </si>
  <si>
    <t>CVE-2026-46209</t>
  </si>
  <si>
    <t>In the Linux kernel, the following vulnerability has been resolved:drm/gem: Fix inconsistent plane dimension calculation indrm_gem_fb_init_with_funcs()drm_gem_fb_init_with_funcs() computes sub-sampled plane dimensionsusing plain integer division:  unsigned int width  = mode_cmd-&gt;width  / (i ? info-&gt;hsub : 1);  unsigned int height = mode_cmd-&gt;height / (i ? info-&gt;vsub : 1);However, the ioctl-level framebuffer_check() in drm_framebuffer.c usesdrm_format_info_plane_width/height() which round up dimensions viaDIV_ROUND_UP(). This inconsistency corrupts the subsequent GEM objectsize check for certain pixel format and dimension combinations.For example, with NV12 (vsub=2) and a 1-pixel-tall framebuffer theGEM size validation path sees height=0 instead of height=1. Theexpression (height - 1) then wraps to UINT_MAX as an unsigned int,causing min_size to overflow and wrap back to a small value. A tinyGEM object therefore passes the size guard, yet when the GPU accessesthe chroma plane it will read or write memory beyond the object'sbounds.Fix by replacing the open-coded divisions withdrm_format_info_plane_width()and drm_format_info_plane_height(), which use DIV_ROUND_UP() and matchthe calculation already used in framebuffer_check().</t>
  </si>
  <si>
    <t>CVE-2026-46210</t>
  </si>
  <si>
    <t>In the Linux kernel, the following vulnerability has been resolved:media: iris: fix use-after-free of fmt_src during MBPF checkDuring concurrency testing, multiple instances can run in parallel, andeach instance uses its own inst-&gt;lock while the core-&gt;lock protects thelist of active instances. The race happens because these locks coverdifferent scopes, inst-&gt;lock protects only the internals of a singleinstance, while the Macro Blocks Per Frame (MBPF) checker walks thecore list under core-&gt;lock and reads fields like fmt_src-&gt;width andfmt_src-&gt;height. At the same time, iris_close() may free fmt_src andfmt_dst under inst-&gt;lock while the instance is still present in the corelist. This allows a situation where the MBPF checker, still iteratingthrough the core list, reaches an instance whose fmt_src was alreadyfreed by another thread and ends up dereferencing a dangling pointer,resulting in a use-after-free. This happens because the MBPF checkerassumes that any instance in the core list is fully valid, but thefreeing of fmt_src and fmt_dst without removing the instance from thecore list is not correct.The correct ordering is to defer freeing fmt_src and fmt_dst until afterthe instance has been removed from the core list and all teardown underthe core lock has completed, ensuring that no dangling pointers are everexposed during MBPF checks.</t>
  </si>
  <si>
    <t>CVE-2026-46212</t>
  </si>
  <si>
    <t>In the Linux kernel, the following vulnerability has been resolved:batman-adv: bla: prevent use-after-free when deleting claimsWhen batadv_bla_del_backbone_claims() removes all claims for a backbone, itdoes this by dropping the link entry in the hash list. This list entryitself was one of the references which need to be dropped at the same timevia batadv_claim_put().But the batadv_claim_put() must not be done before the last access to theclaim object in this function. Otherwise the claim might be freed alreadyby the batadv_claim_release() function before the list entry was dropped.</t>
  </si>
  <si>
    <t>CVE-2026-46213</t>
  </si>
  <si>
    <t>In the Linux kernel, the following vulnerability has been resolved:HID: appletb-kbd: fix UAF in inactivity-timer cleanup pathCommit 38224c472a03 ("HID: appletb-kbd: fix slab use-after-free bug inappletb_kbd_probe") added timer_delete_sync(&amp;kbd-&gt;inactivity_timer) toboth the probe close_hw error path and appletb_kbd_remove(), but theway it was wired in left the inactivity timer reachable during drivertear-down via two distinct windows.Window A -- put_device() before timer_delete_sync():put_device(&amp;kbd-&gt;backlight_dev-&gt;dev);timer_delete_sync(&amp;kbd-&gt;inactivity_timer);The inactivity_timer softirq reads kbd-&gt;backlight_dev and callsbacklight_device_set_brightness() -&gt; mutex_lock(&amp;ops_lock).  If aconcurrent hid_appletb_bl unbind drops the last devm referencebetween these two calls, the backlight_device is freed and themutex_lock() touches freed memory.Window B -- backlight cleanup before hid_hw_stop():if (kbd-&gt;backlight_dev) {timer_delete_sync(...);put_device(...);}hid_hw_close(hdev);hid_hw_stop(hdev);Even after Window A is closed, hid_hw_close()/hid_hw_stop() still runafterwards, so a late ".event" callback from the HID core (USB URBcompletion on real Apple hardware) can arrive aftertimer_delete_sync() drained the softirq but before put_device() dropsthe reference.  That callback reaches reset_inactivity_timer(), whichcalls mod_timer() and re-arms the timer.  The freshly re-armed timercan then fire on the about-to-be-freed backlight_device.Both windows produce the same KASAN slab-use-after-free:  BUG: KASAN: slab-use-after-free in __mutex_lock+0x1aab/0x21c0  Read of size 8 at addr ffff88803ee9a108 by task swapper/0/0  Call Trace:   &lt;IRQ&gt;   __mutex_lock   backlight_device_set_brightness   appletb_inactivity_timer   call_timer_fn   run_timer_softirq   handle_softirqs  Allocated by task N:   devm_backlight_device_register   appletb_bl_probe  Freed by task M:   (concurrent hid_appletb_bl unbind path)Close both windows at once by reworking the tear-down inappletb_kbd_remove() and in the probe close_hw error path so that 1) hid_hw_close()/hid_hw_stop() run before the backlight cleanup,    guaranteeing no further .event callback can fire and re-arm the    timer, and 2) inside the "if (kbd-&gt;backlight_dev)" block, timer_delete_sync()    runs before put_device(), so the softirq is drained before the    final reference is dropped.</t>
  </si>
  <si>
    <t>CVE-2026-46215</t>
  </si>
  <si>
    <t>In the Linux kernel, the following vulnerability has been resolved:drm: Set old handle to NULL before prime swap in change_handleThere was a potential race condition in change_handle. The ioctlbriefly had a single object with two idr entries; a concurrentgem_close could delete the object and remove one of the handleswhile leaving the other one dangling, which could subsequentlybe dereferenced for a use-after-free.To fix this, do the same dance that gem_close itself does.(f6cd7daecff5 drm: Release driver references to handle before making itavailable again)First idr_replace the old handle to NULL. Later, if the primeoperations are successful, actually close it.create_tail required a similar dance to avoid a similar problem.(bd46cece51a3 drm/gem: Fix race in drm_gem_handle_create_tail())It idr_allocs the new handle with NULL, then swaps in the correctobject later to avoid races. We don't need to do that here, sincethe only operations that could race are drm_prime, andchange_handle holds the prime lock for the entire duration.v2: cleanups of error paths</t>
  </si>
  <si>
    <t>CVE-2026-46218</t>
  </si>
  <si>
    <t>In the Linux kernel, the following vulnerability has been resolved:drm/amdgpu: Add bounds checking to ib_{get,set}_valueThe uvd/vce/vcn code accesses the IB at predefined offsets withoutchecking that the IB is large enough. Check the bounds here. The calleris responsible for making sure it can handle arbitrary return values.Also make the idx a uint32_t to prevent overflows causing the conditionto fail.</t>
  </si>
  <si>
    <t>CVE-2026-46219</t>
  </si>
  <si>
    <t>In the Linux kernel, the following vulnerability has been resolved:spi: mpc52xx: fix use-after-free on unbindThe state machine work is scheduled by the interrupt handler andtherefore needs to be cancelled after disabling interrupts to avoid apotential use-after-free.</t>
  </si>
  <si>
    <t>CVE-2026-46227</t>
  </si>
  <si>
    <t>In the Linux kernel, the following vulnerability has been resolved:sctp: revalidate list cursor after sctp_sendmsg_to_asoc() in SCTP_SENDALLThe SCTP_SENDALL path in sctp_sendmsg() iterates ep-&gt;asocs withlist_for_each_entry_safe(), which caches the next entry in @tmp beforethe loop body runs.  The body calls sctp_sendmsg_to_asoc(), which maydrop the socket lock inside sctp_wait_for_sndbuf().While the lock is dropped, another thread can SCTP_SOCKOPT_PEELOFF theassociation cached in @tmp, migrating it to a new endpoint viasctp_sock_migrate() (list_del_init() + list_add_tail() tonewep-&gt;asocs), and optionally close the new socket which frees theassociation via kfree_rcu().  The cached @tmp can also be freed by anetwork ABORT for that association, processed in softirq while thelock is dropped.sctp_wait_for_sndbuf() revalidates @asoc (the current entry) on re-lockvia the "sk != asoc-&gt;base.sk" and "asoc-&gt;base.dead" checks, but nothingrevalidates @tmp.  After a successful return, the iterator advances tothe stale @tmp, yielding either a use-after-free (if the peeled socketwas closed) or a list-walk onto the new endpoint's list head (typeconfusion of &amp;newep-&gt;asocs as a struct sctp_association *).Both are reachable from CapEff=0; the type-confusion path givescontrolled indirect call via the outqueue.sched-&gt;init_sid pointer.Fix by re-deriving @tmp from @asoc after sctp_sendmsg_to_asoc()returns.  @asoc is known to still be on ep-&gt;asocs at that point: theonly callers that list_del an association from ep-&gt;asocs aresctp_association_free() (which sets asoc-&gt;base.dead) andsctp_assoc_migrate() (which changes asoc-&gt;base.sk), andsctp_wait_for_sndbuf() checks both under the lock before anysuccessful return; a tripped check propagates as err &lt; 0 and the loopbails before the re-derive.The SCTP_ABORT path in sctp_sendmsg_check_sflags() returns 0 and theloop hits 'continue' before sctp_sendmsg_to_asoc() is ever called, sothe @tmp cached by list_for_each_entry_safe() still covers thelock-held free that ba59fb027307 ("sctp: walk the list of asocsafely") was added for.</t>
  </si>
  <si>
    <t>CVE-2026-46230</t>
  </si>
  <si>
    <t>In the Linux kernel, the following vulnerability has been resolved:drm/amdgpu/vcn3: Prevent OOB reads when parsing dec msgCheck bounds against the end of the BO whenever we access the msg.</t>
  </si>
  <si>
    <t>CVE-2026-46232</t>
  </si>
  <si>
    <t>In the Linux kernel, the following vulnerability has been resolved:HID: playstation: Clamp num_touch_reportsA device would never lie about the number of touch reports would it?If it does the loop in dualshock4_parse_report will read off the end ofthe touch_reports array, up to about 2 KiB for the maximum number of 256loop iteraions. The data that is read is emitted via evdev if theDS4_TOUCH_POINT_INACTIVE bit happens to be set. Protect against this byclamping the num_touch_reports value provided by the device to themaximum size of the touch_reports array.</t>
  </si>
  <si>
    <t>CVE-2026-46234</t>
  </si>
  <si>
    <t>In the Linux kernel, the following vulnerability has been resolved:vsock: fix buffer size clamping orderIn vsock_update_buffer_size(), the buffer size was being clamped to themaximum first, and then to the minimum. If a user sets a minimum buffersize larger than the maximum, the minimum check overrides the maximumcheck, inverting the constraint.This breaks the intended socket memory boundaries by allowing thevsk-&gt;buffer_size to grow beyond the configured vsk-&gt;buffer_max_size.Fix this by checking the minimum first, and then the maximum. Thisensures the buffer size never exceeds the buffer_max_size.</t>
  </si>
  <si>
    <t>CVE-2026-46238</t>
  </si>
  <si>
    <t>In the Linux kernel, the following vulnerability has been resolved:batman-adv: stop caching unowned originator pointers in BAT IVBAT IV keeps the last-hop neighbor address in each neigh_node, but somepaths also cache an originator pointer derived from a temporary lookup.That pointer is not owned by the neigh_node and may no longer refer to alive originator entry after purge handling runs.Stop storing the auxiliary originator pointer in the BAT IV neighborstate. When BAT IV needs the neighbor originator data, resolve it fromthe stored neighbor address and drop the reference again after use.[sven: avoid bonding logic for outgoing OGM]</t>
  </si>
  <si>
    <t>CVE-2026-46240</t>
  </si>
  <si>
    <t>In the Linux kernel, the following vulnerability has been resolved:media: iris: Fix use-after-free in iris_release_internal_buffers()The recent change in commit 1dabf00ee206 ("media: iris: gen1: Destroyinternal buffers after FW releases") introduced a regression wheresession_release_buf() may free the buffer. The caller,iris_release_internal_buffers(), continued to access `buffer` after thecall, leading to a potential use-after-free.Fix this by setting BUF_ATTR_PENDING_RELEASE before callingsession_release_buf(), and reverting the flag if the call fails. Thisensures no dereference occurs after potential freeing.</t>
  </si>
  <si>
    <t>CVE-2026-46241</t>
  </si>
  <si>
    <t>In the Linux kernel, the following vulnerability has been resolved:spi: mpc52xx: fix use-after-free on registration failureMake sure to disable and free the interrupts in case controllerregistration fails to avoid a potential use-after-free and resourceleak.This issue was flagged by Sashiko when reviewing a controllerderegistration fix.</t>
  </si>
  <si>
    <t>CVE-2026-46242</t>
  </si>
  <si>
    <t>In the Linux kernel, the following vulnerability has been resolved:eventpoll: fix ep_remove struct eventpoll / struct file UAFep_remove() (via ep_remove_file()) cleared file-&gt;f_ep underfile-&gt;f_lock but then kept using @file inside the critical section(is_file_epoll(), hlist_del_rcu() through the head, spin_unlock).A concurrent __fput() taking the eventpoll_release() fastpath inthat window observed the transient NULL, skippedeventpoll_release_file() and ran to f_op-&gt;release / file_free().For the epoll-watches-epoll case, f_op-&gt;release isep_eventpoll_release() -&gt; ep_clear_and_put() -&gt; ep_free(), whichkfree()s the watched struct eventpoll. Its embedded -&gt;refshlist_head is exactly where epi-&gt;fllink.pprev points, so thesubsequent hlist_del_rcu()'s "*pprev = next" scribbles into freedkmalloc-192 memory.In addition, struct file is SLAB_TYPESAFE_BY_RCU, so the slotbacking @file could be recycled by alloc_empty_file() --reinitializing f_lock and f_ep -- while ep_remove() is stillnominally inside that lock. The upshot is an attacker-controllablekmem_cache_free() against the wrong slab cache.Pin @file via epi_fget() at the top of ep_remove() and gate thecritical section on the pin succeeding. With the pin held @filecannot reach refcount zero, which holds __fput() off andtransitively keeps the watched struct eventpoll alive across thehlist_del_rcu() and the f_lock use, closing both UAFs.If the pin fails @file has already reached refcount zero and its__fput() is in flight. Because we bailed before clearing f_ep,that path takes the eventpoll_release() slow path intoeventpoll_release_file() and blocks on ep-&gt;mtx until the waiterside's ep_clear_and_put() drops it. The bailed epi's share ofep-&gt;refcount stays intact, so the trailing ep_refcount_dec_and_test()in ep_clear_and_put() cannot free the eventpoll out from undereventpoll_release_file(); the orphaned epi is then cleaned upthere.A successful pin also proves we are not racingeventpoll_release_file() on this epi, so drop the now-redundantre-check of epi-&gt;dying under f_lock. The cheap locklessREAD_ONCE(epi-&gt;dying) fast-path bailout stays.</t>
  </si>
  <si>
    <t>CVE-2026-46273</t>
  </si>
  <si>
    <t>In the Linux kernel, the following vulnerability has been resolved:ibmveth: Disable GSO for packets with small MSSSome physical adapters on Power systems do not support segmentationoffload when the MSS is less than 224 bytes. Attempting to send suchpackets causes the adapter to freeze, stopping all traffic untilmanually reset.Implement ndo_features_check to disable GSO for packets with small MSSvalues. The network stack will perform software segmentation instead.The 224-byte minimum matches ibmvniccommit &lt;f10b09ef687f&gt; ("ibmvnic: Enforce stronger sanity checkson GSO packets")which uses the same physical adapters in SEA configurations.The issue occurs specifically when the hardware attempts to performsegmentation (gso_segs &gt; 1) with a small MSS. Single-segment GSO packets(gso_segs == 1) do not trigger the problematic LSO code path and aretransmitted normally without segmentation.Add an ndo_features_check callback to disable GSO when MSS &lt; 224 bytes.Also call vlan_features_check() to ensure proper handling of VLAN packets,particularly QinQ (802.1ad) configurations where the hardware parser maynot support certain offload features.Validated using iptables to force small MSS values. Without the fix,the adapter freezes. With the fix, packets are segmented in softwareand transmission succeeds. Comprehensive regression testing completedd(MSS tests, performance, stability).</t>
  </si>
  <si>
    <t>CVE-2026-46274</t>
  </si>
  <si>
    <t>In the Linux kernel, the following vulnerability has been resolved:io-wq: check that the predecessor is hashed in io_wq_remove_pending()io_wq_remove_pending() needs to fix up wq-&gt;hash_tail[] if the cancelledwork was the tail of its hash bucket. When doing this, it checks whetherthe preceding entry in acct-&gt;work_list has the same hash value, butnever checks that the predecessor is hashed at all. io_get_work_hash()is simply atomic_read(&amp;work-&gt;flags) &gt;&gt; IO_WQ_HASH_SHIFT, and the hashbits are never set for non-hashed work, so it returns 0. Thus, when ahashed bucket-0 work is cancelled while a non-hashed work is its listpredecessor, the check spuriously passes and a pointer to the non-hashedio_kiocb is stored in wq-&gt;hash_tail[0].Because non-hashed work is dequeued via the fast path inio_get_next_work(), which never touches hash_tail[], the stale pointeris never cleared. Therefore, after the non-hashed io_kiocb completes andis freed back to req_cachep, wq-&gt;hash_tail[0] is a dangling pointer. Theio_wq is per-task (tctx-&gt;io_wq) and survives ring open/close, so thedangling pointer persists for the lifetime of the task; the next hashedbucket-0 enqueue dereferences it in io_wq_insert_work() andwq_list_add_after() writes through freed memory.Add the missing io_wq_is_hashed() check so a non-hashed predecessornever inherits a hash_tail[] slot.</t>
  </si>
  <si>
    <t>CVE-2026-46275</t>
  </si>
  <si>
    <t>In the Linux kernel, the following vulnerability has been resolved:Bluetooth: hci_uart: fix UAFs and race conditions in close and init pathsVulnerabilities leading to Use-After-Free (UAF) and Null PointerDereference (NPD) conditions were observed in the lifecycle managementof hci_uart.The primary issue arises because the workqueues (init_ready andwrite_work) are only flushed/cancelled if the HCI_UART_PROTO_READYflag is set during TTY close. If a hangup occurs before setup completes,hci_uart_tty_close() skips the teardown of these workqueues andproceeds to free the `hu` struct. When the scheduled work executeslater, it blindly dereferences the freed `hu` struct.Furthermore, several data races and UAFs were identified in the teardownsequence:1. Calling hci_uart_flush() from hci_uart_close() without effectively   disabling write_work causes a race condition where both can concurrently   double-free hu-&gt;tx_skb. This happens because protocol timers can   concurrently invoke hci_uart_tx_wakeup() and requeue write_work.2. Calling hci_free_dev(hdev) before hu-&gt;proto-&gt;close(hu) causes a UAF   when vendor specific protocol close callbacks dereference hu-&gt;hdev.3. In the initialization error paths, failing to take the proto_lock   write lock before clearing PROTO_READY leads to races with active   readers. Additionally, hci_uart_tty_receive() accesses hu-&gt;hdev   outside the read lock, leading to UAFs if the initialization error   path frees hdev concurrently.Fix these synchronization and lifecycle issues by:1. Re-ordering hci_uart_tty_close() to clear HCI_UART_PROTO_READY first,   followed immediately by a cancel_work_sync(&amp;hu-&gt;write_work). Clearing   the flag locks out concurrent protocol timers from successfully invoking   hci_uart_tx_wakeup(), effectively rendering the cancellation permanent   and preventing the tx_skb double-free.2. Note: Clearing PROTO_READY early causes hci_uart_close() to skip   hu-&gt;proto-&gt;flush(). This is perfectly safe in the tty_close path   because hu-&gt;proto-&gt;close() executes shortly after, which intrinsically   purges all protocol SKB queues and tears down the state.3. Relocating hu-&gt;proto-&gt;close(hu) strictly prior to hci_free_dev(hdev)   across all close and error paths to prevent vendor-level UAFs.4. Moving the hdev-&gt;stat.byte_rx increment in hci_uart_tty_receive()   inside the proto_lock read-side critical section to safely synchronize   with device unregistration.5. Adding cancel_work_sync(&amp;hu-&gt;write_work) to hci_uart_close() to safely   flush the workqueue before hci_uart_flush() is invoked via the HCI core.6. Utilizing cancel_work_sync() instead of disable_work_sync() across   all paths to prevent permanently breaking user-space retry capabilities.</t>
  </si>
  <si>
    <t>CVE-2026-46293</t>
  </si>
  <si>
    <t>In the Linux kernel, the following vulnerability has been resolved:clk: microchip: mpfs-ccc: fix out of bounds access during outputregistrationUBSAN reported an out of bounds access during registration of the lasttwo outputs. This out of bounds access occurs because space is onlyallocated in the hws array for two PLLs and the four output dividersthat each has, but the defined IDs contain two DLLS and their twooutputs each, which are not supported by the driver. The ID order isPLLs -&gt; DLLs -&gt; PLL outputs -&gt; DLL outputs. Decrement the PLL output IDsby two while adding them to the array to avoid the problem.</t>
  </si>
  <si>
    <t>CVE-2026-46294</t>
  </si>
  <si>
    <t>In the Linux kernel, the following vulnerability has been resolved:dm: fix a buffer overflow in ioctl processingTony Asleson (using Claude) found a buffer overflow in dm-ioctl in thefunction retrieve_status:1. The code in retrieve_status checks that the output string fits into   the output buffer and writes the output string there2. Then, the code aligns the "outptr" variable to the next 8-byte   boundary:outptr = align_ptr(outptr);3. The alignment doesn't check overflow, so outptr could point past the   buffer end4. The "for" loop is iterated again, it executes:remaining = len - (outptr - outbuf);5. If "outptr" points past "outbuf + len", the arithmetics wraps around   and the variable "remaining" contains unusually high number6. With "remaining" being high, the code writes more data past the end of   the bufferLuckily, this bug has no security implications because:1. Only root can issue device mapper ioctls2. The commonly used libraries that communicate with device mapper   (libdevmapper and devicemapper-rs) use buffer size that is aligned to   8 bytes - thus, "outptr = align_ptr(outptr)" can't overshoot the input   buffer and the bug can't happen accidentally</t>
  </si>
  <si>
    <t>CVE-2026-46299</t>
  </si>
  <si>
    <t>In the Linux kernel, the following vulnerability has been resolved:hfsplus: fix held lock freed on hfsplus_fill_super()hfsplus_fill_super() calls hfs_find_init() to initialize a searchstructure, which acquires tree-&gt;tree_lock. If the subsequent call tohfsplus_cat_build_key() fails, the function jumps to the out_put_rooterror label without releasing the lock. The later cleanup path thenfrees the tree data structure with the lock still held, triggering aheld lock freed warning.Fix this by adding the missing hfs_find_exit(&amp;fd) call before jumpingto the out_put_root error label. This ensures that tree-&gt;tree_lock isproperly released on the error path.The bug was originally detected on v6.13-rc1 using an experimentalstatic analysis tool we are developing, and we have verified that theissue persists in the latest mainline kernel. The tool is specificallydesigned to detect memory management issues. It is currently under activedevelopment and not yet publicly available.We confirmed the bug by runtime testing under QEMU with x86_64 defconfig,lockdep enabled, and CONFIG_HFSPLUS_FS=y. To trigger the error path, weused GDB to dynamically shrink the max_unistr_len parameter to 1 beforehfsplus_asc2uni() is called. This forces hfsplus_asc2uni() to naturallyreturn -ENAMETOOLONG, which propagates to hfsplus_cat_build_key() andexercises the faulty error path. The following warning was observedduring mount:=========================WARNING: held lock freed!7.0.0-rc3-00016-gb4f0dd314b39 #4 Not tainted-------------------------mount/174 is freeing memory ffff888103f92000-ffff888103f92fff, with a lockstill held there!ffff888103f920b0 (&amp;tree-&gt;tree_lock){+.+.}-{4:4}, at:hfsplus_find_init+0x154/0x1e02 locks held by mount/174:#0: ffff888103f960e0 (&amp;type-&gt;s_umount_key#42/1){+.+.}-{4:4}, at:alloc_super.constprop.0+0x167/0xa40#1: ffff888103f920b0 (&amp;tree-&gt;tree_lock){+.+.}-{4:4}, at:hfsplus_find_init+0x154/0x1e0stack backtrace:CPU: 2 UID: 0 PID: 174 Comm: mount Not tainted7.0.0-rc3-00016-gb4f0dd314b39 #4 PREEMPT(lazy)Hardware name: QEMU Standard PC (Q35 + ICH9, 2009), BIOS 1.15.0-104/01/2014Call Trace:&lt;TASK&gt;dump_stack_lvl+0x82/0xd0debug_check_no_locks_freed+0x13a/0x180kfree+0x16b/0x510? hfsplus_fill_super+0xcb4/0x18a0hfsplus_fill_super+0xcb4/0x18a0? __pfx_hfsplus_fill_super+0x10/0x10? srso_return_thunk+0x5/0x5f? bdev_open+0x65f/0xc30? srso_return_thunk+0x5/0x5f? pointer+0x4ce/0xbf0? trace_contention_end+0x11c/0x150? __pfx_pointer+0x10/0x10? srso_return_thunk+0x5/0x5f? bdev_open+0x79b/0xc30? srso_return_thunk+0x5/0x5f? srso_return_thunk+0x5/0x5f? vsnprintf+0x6da/0x1270? srso_return_thunk+0x5/0x5f? __mutex_unlock_slowpath+0x157/0x740? __pfx_vsnprintf+0x10/0x10? srso_return_thunk+0x5/0x5f? srso_return_thunk+0x5/0x5f? mark_held_locks+0x49/0x80? srso_return_thunk+0x5/0x5f? srso_return_thunk+0x5/0x5f? irqentry_exit+0x17b/0x5e0? trace_irq_disable.constprop.0+0x116/0x150? __pfx_hfsplus_fill_super+0x10/0x10? __pfx_hfsplus_fill_super+0x10/0x10get_tree_bdev_flags+0x302/0x580? __pfx_get_tree_bdev_flags+0x10/0x10? vfs_parse_fs_qstr+0x129/0x1a0? __pfx_vfs_parse_fs_qstr+0x3/0x10vfs_get_tree+0x89/0x320fc_mount+0x10/0x1d0path_mount+0x5c5/0x21c0? __pfx_path_mount+0x10/0x10? trace_irq_enable.constprop.0+0x116/0x150? trace_irq_enable.constprop.0+0x116/0x150? srso_return_thunk+0x5/0x5f? srso_return_thunk+0x5/0x5f? kmem_cache_free+0x307/0x540? user_path_at+0x51/0x60? __x64_sys_mount+0x212/0x280? srso_return_thunk+0x5/0x5f__x64_sys_mount+0x212/0x280? __pfx___x64_sys_mount+0x10/0x10? srso_return_thunk+0x5/0x5f? trace_irq_enable.constprop.0+0x116/0x150? srso_return_thunk+0x5/0x5fdo_syscall_64+0x111/0x680entry_SYSCALL_64_after_hwframe+0x77/0x7fRIP: 0033:0x7ffacad55eaeCode: 48 8b 0d 85 1f 0f 00 f7 d8 64 89 01 48 83 c8 ff c3 66 2e 0f 1f 84 0000 00 00 00 90 f3 0f 1e fa 49 89 ca b8 a5 00 00 8RSP: 002b---truncated---</t>
  </si>
  <si>
    <t>CVE-2026-46301</t>
  </si>
  <si>
    <t>In the Linux kernel, the following vulnerability has been resolved:spi: topcliff-pch: fix use-after-free on unbindGive the driver a chance to flush its queue before releasing the DMAbuffers on driver unbind</t>
  </si>
  <si>
    <t>CVE-2026-46303</t>
  </si>
  <si>
    <t>In the Linux kernel, the following vulnerability has been resolved:isofs: validate Rock Ridge CE continuation extent against volume sizerock_continue() reads rs-&gt;cont_extent verbatim from the Rock Ridge CErecord and passes it to sb_bread() without checking that the blocknumber is within the mounted ISO 9660 volume.  commit e595447e177b("[PATCH] rock.c: handle corrupted directories") added cont_offsetand cont_size rejection for the CE continuation but did not validatethe extent block number itself.  commit f54e18f1b831 ("isofs: Fixinfinite looping over CE entries") later capped the CE chain lengthat RR_MAX_CE_ENTRIES = 32 but again left the block number unchecked.With a crafted ISO mounted via udisks2 (desktop optical auto-mount)or via CAP_SYS_ADMIN mount, rs-&gt;cont_extent can therefore point atan out-of-range block or at blocks belonging to an adjacentfilesystem on the same block device.  sb_bread() on an out-of-rangeblock returns NULL cleanly via the block layer EIO path, so thereis no memory-safety violation.  For in-range reads of adjacent-filesystem data, the CE buffer is parsed as Rock Ridge records andonly the text of SL sub-records reaches userspace throughreadlink(), which makes the info-leak channel narrow and difficultto exploit; still, rejecting the malformed CE outright matches therejection shape already present in the same function forcont_offset and cont_size.Add an ISOFS_SB(sb)-&gt;s_nzones bounds check to rock_continue() nextto the existing offset/size rejection, printing the samecorrupted-directory-entry notice.</t>
  </si>
  <si>
    <t>CVE-2026-46304</t>
  </si>
  <si>
    <t>In the Linux kernel, the following vulnerability has been resolved:nvmet: avoid recursive nvmet-wq flush in nvmet_ctrl_freenvmet_tcp_release_queue_work() runs on nvmet-wq and can drop thefinal controller reference through nvmet_cq_put(). If that triggersnvmet_ctrl_free(), the teardown path flushes ctrl-&gt;async_event_work onthe same nvmet-wq.Call chain: nvmet_tcp_schedule_release_queue()   kref_put(&amp;queue-&gt;kref, nvmet_tcp_release_queue)     nvmet_tcp_release_queue()       queue_work(nvmet_wq, &amp;queue-&gt;release_work) &lt;--- nvmet_wq         process_one_work()           nvmet_tcp_release_queue_work()             nvmet_cq_put(&amp;queue-&gt;nvme_cq)               nvmet_cq_destroy()                 nvmet_ctrl_put(cq-&gt;ctrl)                   nvmet_ctrl_free()                     flush_work(&amp;ctrl-&gt;async_event_work) &lt;--- nvmet_wq                      Previously Scheduled by :-        nvmet_add_async_event          queue_work(nvmet_wq, &amp;ctrl-&gt;async_event_work);This trips lockdep with a possible recursive locking warning.[ 5223.015876] run blktests nvme/003 at 2026-04-07 20:53:55[ 5223.061801] loop0: detected capacity change from 0 to 2097152[ 5223.072206] nvmet: adding nsid 1 to subsystem blktests-subsystem-1[ 5223.088368] nvmet_tcp: enabling port 0 (127.0.0.1:4420)[ 5223.126086] nvmet: Created discovery controller 1 for subsystemnqn.2014-08.org.nvmexpress.discovery for NQNnqn.2014-08.org.nvmexpress:uuid:0f01fb42-9f7f-4856-b0b3-51e60b8de349.[ 5223.128453] nvme nvme1: new ctrl: NQN"nqn.2014-08.org.nvmexpress.discovery", addr 127.0.0.1:4420, hostnqn:nqn.2014-08.org.nvmexpress:uuid:0f01fb42-9f7f-4856-b0b3-51e60b8de349[ 5233.199447] nvme nvme1: Removing ctrl: NQN"nqn.2014-08.org.nvmexpress.discovery"[ 5233.227718] ============================================[ 5233.231283] WARNING: possible recursive locking detected[ 5233.234696] 7.0.0-rc3nvme+ #20 Tainted: G           O     N[ 5233.238434] --------------------------------------------[ 5233.241852] kworker/u192:6/2413 is trying to acquire lock:[ 5233.245429] ffff888111632548 ((wq_completion)nvmet-wq){+.+.}-{0:0}, at:touch_wq_lockdep_map+0x26/0x90[ 5233.251438]               but task is already holding lock:[ 5233.255254] ffff888111632548 ((wq_completion)nvmet-wq){+.+.}-{0:0}, at:process_one_work+0x5cc/0x6e0[ 5233.261125]               other info that might help us debug this:[ 5233.265333]  Possible unsafe locking scenario:[ 5233.269217]        CPU0[ 5233.270795]        ----[ 5233.272436]   lock((wq_completion)nvmet-wq);[ 5233.275241]   lock((wq_completion)nvmet-wq);[ 5233.278020]                *** DEADLOCK ***[ 5233.281793]  May be due to missing lock nesting notation[ 5233.286195] 3 locks held by kworker/u192:6/2413:[ 5233.289192]  #0: ffff888111632548 ((wq_completion)nvmet-wq){+.+.}-{0:0},at: process_one_work+0x5cc/0x6e0[ 5233.294569]  #1: ffffc9000e2a7e40((work_completion)(&amp;queue-&gt;release_work)){+.+.}-{0:0}, at:process_one_work+0x1c5/0x6e0[ 5233.300128]  #2: ffffffff82d7dc40 (rcu_read_lock){....}-{1:3}, at:__flush_work+0x62/0x530[ 5233.304290]               stack backtrace:[ 5233.306520] CPU: 4 UID: 0 PID: 2413 Comm: kworker/u192:6 Tainted: G     O     N  7.0.0-rc3nvme+ #20 PREEMPT(full)[ 5233.306524] Tainted: [O]=OOT_MODULE, [N]=TEST[ 5233.306525] Hardware name: QEMU Standard PC (i440FX + PIIX, 1996), BIOSrel-1.17.0-0-gb52ca86e094d-prebuilt.qemu.org 04/01/2014[ 5233.306527] Workqueue: nvmet-wq nvmet_tcp_release_queue_work [nvmet_tcp][ 5233.306532] Call Trace:[ 5233.306534]  &lt;TASK&gt;[ 5233.306536]  dump_stack_lvl+0x73/0xb0[ 5233.306552]  print_deadlock_bug+0x225/0x2f0[ 5233.306556]  __lock_acquire+0x13f0/0x2290[ 5233.306563]  lock_acquire+0xd0/0x300[ 5233.306565]  ? touch_wq_lockdep_map+0x26/0x90[ 5233.306571]  ? __flush_work+0x20b/0x530[ 5233.306573]  ? touch_wq_lockdep_map+0x26/0x90[ 5233.306577]  touch_wq_lockdep_map+0x3b/0x90[ 5233.306580]  ? touch_wq_lockdep_map+0x26/0x90[ 52---truncated---</t>
  </si>
  <si>
    <t>CVE-2026-46306</t>
  </si>
  <si>
    <t>In the Linux kernel, the following vulnerability has been resolved:flow_dissector: do not dissect PPPoE PFC framesRFC 2516 Section 7 states that Protocol Field Compression (PFC) is NOTRECOMMENDED for PPPoE. In practice, pppd does not support negotiatingPFC for PPPoE sessions, and the flow dissector driver has assumed anuncompressed frame until the blamed commit.During the review process of that commit [1], support for PFC issuggested. However, having a compressed (1-byte) protocol field meansthe subsequent PPP payload is shifted by one byte, causing 4-bytemisalignment for the network header and an unaligned access exceptionon some architectures.The exception can be reproduced by sending a PPPoE PFC frame to anethernet interface of a MIPS board, with RPS enabled, even if no PPPoEsession is active on that interface:$ 0   : 00000000 80c40000 00000000 85144817$ 4   : 00000008 00000100 80a75758 81dc9bb8$ 8   : 00000010 8087ae2c 0000003d 00000000$12   : 000000e0 00000039 00000000 00000000$16   : 85043240 80a75758 81dc9bb8 00006488$20   : 0000002f 00000007 85144810 80a70000$24   : 81d1bda0 00000000$28   : 81dc8000 81dc9aa8 00000000 805ead08Hi    : 00009d51Lo    : 2163358aepc   : 805e91f0 __skb_flow_dissect+0x1b0/0x1b50ra    : 805ead08 __skb_get_hash_net+0x74/0x12cStatus: 11000403        KERNEL EXL IECause : 40800010 (ExcCode 04)BadVA : 85144817PrId  : 0001992f (MIPS 1004Kc)Call Trace:[&lt;805e91f0&gt;] __skb_flow_dissect+0x1b0/0x1b50[&lt;805ead08&gt;] __skb_get_hash_net+0x74/0x12c[&lt;805ef330&gt;] get_rps_cpu+0x1b8/0x3fc[&lt;805fca70&gt;] netif_receive_skb_list_internal+0x324/0x364[&lt;805fd120&gt;] napi_complete_done+0x68/0x2a4[&lt;8058de5c&gt;] mtk_napi_rx+0x228/0xfec[&lt;805fd398&gt;] __napi_poll+0x3c/0x1c4[&lt;805fd754&gt;] napi_threaded_poll_loop+0x234/0x29c[&lt;805fd848&gt;] napi_threaded_poll+0x8c/0xb0[&lt;80053544&gt;] kthread+0x104/0x12c[&lt;80002bd8&gt;] ret_from_kernel_thread+0x14/0x1cCode: 02d51821  1060045b  00000000 &lt;8c640000&gt; 3084000f  2c820005  144001a200042080  8e220000To reduce the attack surface and maintain performance, do not processPPPoE PFC frames.[1] https://lore.kernel.org/r/20220630231016.GA392@debian.home</t>
  </si>
  <si>
    <t>CVE-2026-46307</t>
  </si>
  <si>
    <t>In the Linux kernel, the following vulnerability has been resolved:wifi: ath5k: do not access array OOBVincent reports:&gt; The ath5k driver seems to do an array-index-out-of-bounds access as&gt; shown by the UBSAN kernel message:&gt; UBSAN: array-index-out-of-bounds indrivers/net/wireless/ath/ath5k/base.c:1741:20&gt; index 4 is out of range for type 'ieee80211_tx_rate [4]'&gt; ...&gt; Call Trace:&gt;  &lt;TASK&gt;&gt;  dump_stack_lvl+0x5d/0x80&gt;  ubsan_epilogue+0x5/0x2b&gt;  __ubsan_handle_out_of_bounds.cold+0x46/0x4b&gt;  ath5k_tasklet_tx+0x4e0/0x560 [ath5k]&gt;  tasklet_action_common+0xb5/0x1c0It is real. 'ts-&gt;ts_final_idx' can be 3 on 5212, so:   info-&gt;status.rates[ts-&gt;ts_final_idx + 1].idx = -1;with the array defined as:   struct ieee80211_tx_rate rates[IEEE80211_TX_MAX_RATES];while the size is:   #define IEEE80211_TX_MAX_RATES  4is indeed bogus.Set this 'idx = -1' sentinel only if the array index is less than thearray size. As mac80211 will not look at rates beyond the size(IEEE80211_TX_MAX_RATES).Note: The effect of the OOB write is negligible. It just overwrites thenext member of info-&gt;status, i.e. ack_signal.</t>
  </si>
  <si>
    <t>CVE-2026-46308</t>
  </si>
  <si>
    <t>In the Linux kernel, the following vulnerability has been resolved:pmdomain: mediatek: fix use-after-free inscpsys_get_bus_protection_legacy()In scpsys_get_bus_protection_legacy(), of_find_node_with_property()returns a device node with its reference count incremented. The functionthen calls of_node_put(node) before checking whethersyscon_regmap_lookup_by_phandle() returns an error. If an error occurs,dev_err_probe() dereferences the node pointer to print diagnosticinformation, but the node memory may have already been freed due to theearlier of_node_put(), leading to a use-after-free vulnerability.Fix this by moving the of_node_put() call after the error check, ensuringthe node is still valid when accessed in the error path.</t>
  </si>
  <si>
    <t>CVE-2026-46309</t>
  </si>
  <si>
    <t>In the Linux kernel, the following vulnerability has been resolved:drm/xe/uapi: Reject coh_none PAT index for CPU cached memory in madviseAdd validation in xe_vm_madvise_ioctl() to reject PAT indices withXE_COH_NONE coherency mode when applied to CPU cached memory.Using coh_none with CPU cached buffers is a security issue. When thekernel clears pages before reallocation, the clear operation stays inCPU cache (dirty). GPU with coh_none can bypass CPU caches and readstale sensitive data directly from DRAM, potentially leaking data frompreviously freed pages of other processes.This aligns with the existing validation in vm_bind path(xe_vm_bind_ioctl_validate_bo).v2(Matthew brost)- Add fixes- Move one debug print to better placev3(Matthew Auld)- Should be drm/xe/uapi- More Ccv4(Shuicheng Lin)- Fix kmem leak issues by the wayv5- Remove kmem leak because it has been merged by another patchv6- Remove the fix which is not related to current fixv7- No changev8- Rebasev9- Limit the restrictions to iGPUv10- No change(cherry picked from commit 016ccdb674b8c899940b3944952c96a6a490d10a)</t>
  </si>
  <si>
    <t>CVE-2026-46311</t>
  </si>
  <si>
    <t>In the Linux kernel, the following vulnerability has been resolved:drm/amdgpu/userq: fix access to stale wptr mappingUse drm_exec to take both locks i.e vm root bo andwptr_obj bo to access the mapping data properly.This fixes the security issue of unmap the wptr_obj whilea queue creation is in progress and passing otherbo at same address.(cherry picked from commit 1fc6c8ab45dbee096469c08c13f6099d57a52d6c)</t>
  </si>
  <si>
    <t>CVE-2026-46317</t>
  </si>
  <si>
    <t>In the Linux kernel, the following vulnerability has been resolved:KVM: arm64: Reassign nested_mmus array behind mmu_lockkvm-&gt;arch.nested_mmus[] is walked under kvm-&gt;mmu_lock, including from theMMU notifier path (kvm_unmap_gfn_range() -&gt; kvm_nested_s2_unmap()), whichcan run at any time. kvm_vcpu_init_nested() reallocates the array and freesthe old buffer while holding only kvm-&gt;arch.config_lock, so such a walkercan reference the freed array.Allocate the new array outside of mmu_lock, as the allocation can sleep.Under the lock, copy the existing entries, fix up the back pointers andreassign the array. Free the old buffer after dropping the lock, askvfree() can sleep as well.</t>
  </si>
  <si>
    <t>CVE-2026-46319</t>
  </si>
  <si>
    <t>In the Linux kernel, the following vulnerability has been resolved:net/sched: act_ct: Only release RCU read lock after ct_ftWhen looking up a flow table in act_ct in tcf_ct_flow_table_get(),rhashtable_lookup_fast() internally opens and closes an RCU read criticalsection before returning ct_ft.The tcf_ct_flow_table_cleanup_work() can complete beforerefcount_inc_not_zero()is invoked on the returned ct_ft resulting in a UAF on the already freedct_ftobject. This vulnerability can lead to privilege escalation.Analysis from zdi-disclosures@trendmicro.com:When initializing act_ct, tcf_ct_init() is called, which internallytriggerstcf_ct_flow_table_get().static int tcf_ct_flow_table_get(struct net *net, struct tcf_ct_params*params){                struct zones_ht_key key = { .net = net, .zone =params-&gt;zone };                struct tcf_ct_flow_table *ct_ft;                int err = -ENOMEM;                mutex_lock(&amp;zones_mutex);                ct_ft = rhashtable_lookup_fast(&amp;zones_ht, &amp;key,zones_params); // [1]                if (ct_ft &amp;&amp; refcount_inc_not_zero(&amp;ct_ft-&gt;ref)) // [2]                                goto out_unlock;                ...}static __always_inline void *rhashtable_lookup_fast(                struct rhashtable *ht, const void *key,                const struct rhashtable_params params){                void *obj;                rcu_read_lock();                obj = rhashtable_lookup(ht, key, params);                rcu_read_unlock();                return obj;}At [1], rhashtable_lookup_fast() looks up and returns the correspondingct_ftfrom zones_ht . The lookup is performed within an RCU read critical sectionthrough rcu_read_lock() / rcu_read_unlock(), which prevents the object frombeing freed. However, at the point of function return, rcu_read_unlock()hasalready been called, and there is nothing preventing ct_ft from being freedbefore reaching refcount_inc_not_zero(&amp;ct_ft-&gt;ref) at [2]. This intervalbecomesthe race window, during which ct_ft can be freed.Free Process:tcf_ct_flow_table_put() is executed through the path tcf_ct_cleanup()call_rcu()tcf_ct_params_free_rcu() tcf_ct_params_free() tcf_ct_flow_table_put().static void tcf_ct_flow_table_put(struct tcf_ct_flow_table *ct_ft){                if (refcount_dec_and_test(&amp;ct_ft-&gt;ref)) {                                rhashtable_remove_fast(&amp;zones_ht,&amp;ct_ft-&gt;node, zones_params);                                INIT_RCU_WORK(&amp;ct_ft-&gt;rwork,tcf_ct_flow_table_cleanup_work); // [3]                                queue_rcu_work(act_ct_wq, &amp;ct_ft-&gt;rwork);                }}At [3], tcf_ct_flow_table_cleanup_work() is scheduled as RCU workstatic void tcf_ct_flow_table_cleanup_work(struct work_struct *work){                struct tcf_ct_flow_table *ct_ft;                struct flow_block *block;                ct_ft = container_of(to_rcu_work(work), structtcf_ct_flow_table,                                                                rwork);                nf_flow_table_free(&amp;ct_ft-&gt;nf_ft);                block = &amp;ct_ft-&gt;nf_ft.flow_block;                down_write(&amp;ct_ft-&gt;nf_ft.flow_block_lock);                WARN_ON(!list_empty(&amp;block-&gt;cb_list));                up_write(&amp;ct_ft-&gt;nf_ft.flow_block_lock);                kfree(ct_ft); // [4]                module_put(THIS_MODULE);}tcf_ct_flow_table_cleanup_work() frees ct_ft at [4]. When this functionexecutesbetween [1] and [2], UAF occurs.This race condition has a very short race window, making it generallydifficult to trigger. Therefore, to trigger the vulnerability anmsleep(100) wasinserted after[1]</t>
  </si>
  <si>
    <t>CVE-2026-46320</t>
  </si>
  <si>
    <t>In the Linux kernel, the following vulnerability has been resolved:tap: free page on error paths in tap_get_user_xdp()tap_get_user_xdp() rejects a frame shorter than ETH_HLEN with -EINVAL,and returns -ENOMEM when build_skb() fails. Both paths jump to the errlabel without freeing the page that vhost_net_build_xdp() allocated forthe frame. tap_sendmsg() discards the per-buffer return value and alwaysreturns 0, so vhost_tx_batch() takes the success path and never freesthe page; each rejected frame in a batch leaks one page-frag chunk.Free the page on both error paths, before the skb is built. This is thetap counterpart of the same leak in tun_xdp_one().</t>
  </si>
  <si>
    <t>CVE-2026-46321</t>
  </si>
  <si>
    <t>In the Linux kernel, the following vulnerability has been resolved:tun: free page on short-frame rejection in tun_xdp_one()tun_xdp_one() returns -EINVAL on a frame shorter than ETH_HLEN withoutfreeing the page that vhost_net_build_xdp() allocated for it.tun_sendmsg() discards that -EINVAL and still returns total_len, sovhost_tx_batch() takes the success path and never frees the page; eachshort frame in a batch leaks one page-frag chunk.A local process that can open /dev/net/tun and /dev/vhost-net can hitthis path: it attaches a tun/tap device as the vhost-net backend andfeeds TX descriptors whose length minus the virtio-net header is belowETH_HLEN. Each kick leaks the page-frag chunks for that batch, and atight submission loop exhausts host memory and triggers an OOM panic.Free the page before returning -EINVAL, matching the XDP-program errorpath in the same function.</t>
  </si>
  <si>
    <t>CVE-2026-46322</t>
  </si>
  <si>
    <t>In the Linux kernel, the following vulnerability has been resolved:tun: free page on build_skb failure in tun_xdp_one()When build_skb() fails in tun_xdp_one(), the function sets ret to-ENOMEM and jumps to the out label, which returns without freeing thepage that vhost_net_build_xdp() allocated for the frame. As with theshort-frame rejection path, tun_sendmsg() discards the per-buffer errorand still returns total_len, so vhost_tx_batch() takes the success pathand never frees the page. Each build_skb() failure in a batch leaks onepage-frag chunk.Free the page before taking the error path, matching the put_page() theother error exits of tun_xdp_one() already perform.</t>
  </si>
  <si>
    <t>CVE-2026-46324</t>
  </si>
  <si>
    <t>In the Linux kernel, the following vulnerability has been resolved:netfilter: nf_tables: use list_del_rcu for netlink hooksnft_netdev_unregister_hooks and __nft_unregister_flowtable_net_hooks needto use list_del_rcu(), this list can be walked by concurrent dumpers.Add a new helper and use it consistently.</t>
  </si>
  <si>
    <t>CVE-2026-52908</t>
  </si>
  <si>
    <t>In the Linux kernel, the following vulnerability has been resolved:RDMA: During rereg_mr ensure that REREG_ACCESS is compatibleIf IB_MR_REREG_ACCESS changes from RO to RW then the umem has to bere-evaluated to ensure it is properly pinned as RW. Since the umem ishidden inside each driver's mr struct add a ib_umem_check_rereg() functionthat each driver has to call before processing IB_MR_REREG_ACCESS.mlx4 has to retain its duplicate ib_access_writable check because itimplements IB_MR_REREG_ACCESS | IB_MR_REREG_TRANS by changing both itemsin place sequentially while the MR is live, so it will continue to notsupport this combination.</t>
  </si>
  <si>
    <t>CVE-2026-52909</t>
  </si>
  <si>
    <t>In the Linux kernel, the following vulnerability has been resolved:ip6_vti: set netns_immutable on the fallback device.john1988 and Noam Rathaus reported that vti6_init_net() does not set thenetns_immutable flag on the per-netns fallback tunnel device (ip6_vti0).Other similar tunnel drivers (like ip6_tunnel, sit, ip6_gre, and ip_tunnel)correctly set this flag during their fallback device initialization toprevent them from being moved to another network namespace.</t>
  </si>
  <si>
    <t>CVE-2026-52911</t>
  </si>
  <si>
    <t>In the Linux kernel, the following vulnerability has been resolved:ksmbd: scope conn-&gt;binding slowpath to bound sessions onlyWhen the binding SESSION_SETUP sets conn-&gt;binding = true, the flag staysset after the call so that the global session lookup inksmbd_session_lookup_all() can find the session, which was not added toconn-&gt;sessions. Because the flag is connection-wide, the global lookuppath will also resolve any other session by id if asked.Tighten the global lookup so that the returned session must have thisconnection registered in its channel xarray (sess-&gt;ksmbd_chann_list).The channel entry is installed by the existing binding_session path inntlm_authenticate()/krb5_authenticate() when a SESSION_SETUP completessuccessfully, so this condition is a strict equivalent of "thisconnection has been accepted as a channel of this session". Connectionsthat have not bound to a given session cannot reach it via the globaltable.The existing conn-&gt;binding gate for entering the slowpath is preservedso that non-binding connections keep the fast-path-only behavior, andthe session-&gt;state check is unchanged.</t>
  </si>
  <si>
    <t>CVE-2026-52912</t>
  </si>
  <si>
    <t>In the Linux kernel, the following vulnerability has been resolved:netfilter: nf_queue: hold bridge skb-&gt;dev while queuedbr_pass_frame_up() rewrites skb-&gt;dev from the ingress port to the bridgemaster before queueing bridge LOCAL_IN packets. NFQUEUE only holdsreferences on state.in/out and bridge physdevs, so a queued bridgepacket can retain a freed bridge master in skb-&gt;dev until reinjection.When the verdict is reinjected later, br_netif_receive_skb() re-entersthe receive path with skb-&gt;dev still pointing at the freed bridge master,triggering a use-after-free.Store skb-&gt;dev in the queue entry, hold a reference on it for the queuelifetime, and use the saved device when dropping queued packets duringNETDEV_DOWN handling.</t>
  </si>
  <si>
    <t>CVE-2026-52915</t>
  </si>
  <si>
    <t>In the Linux kernel, the following vulnerability has been resolved:netfilter: ip6t_hbh: reject oversized option listsstruct ip6t_opts stores at most IP6T_OPTS_OPTSNR option descriptors,but hbh_mt6_check() does not reject larger optsnr values supplied fromuserspace.Validate optsnr in the rule setup path so only match data that fits thefixed-size opts array can be installed. This follows the existing xtablespattern of rejecting invalid user-provided counts in checkentry() andkeeps the packet matching path unchanged.`struct ip6t_opts` has a fixed `opts[IP6T_OPTS_OPTSNR]` array,where `IP6T_OPTS_OPTSNR` is 16, then off-by-one array access is possible:[  137.924693][ T8692] UBSAN: array-index-out-of-bounds in../net/ipv6/netfilter/ip6t_hbh.c:110:29[  137.926167][ T8692] index 16 is out of range for type '__u16 [16]'</t>
  </si>
  <si>
    <t>CVE-2026-52917</t>
  </si>
  <si>
    <t>In the Linux kernel, the following vulnerability has been resolved:sctp: diag: reject stale associations in dump_one pathThe SCTP exact sock_diag lookup can hold a transport reference, block onlock_sock(sk), and then resume after sctp_association_free() has markedthe association dead and freed its bind address list.When that happens, inet_assoc_attr_size() andinet_diag_msg_sctpasoc_fill() can still dereference association statethat is no longer valid for reporting. In particular,inet_diag_msg_sctpasoc_fill() may read an empty bind-address list as areal sctp_sockaddr_entry and trigger an out-of-bounds read fromunrelated association memory.Reject the association after taking the socket lock if it has beenreaped or detached from the endpoint, and report the lookup as stale.This keeps the exact dump-one path from formatting torn associationstate.</t>
  </si>
  <si>
    <t>CVE-2026-52918</t>
  </si>
  <si>
    <t>In the Linux kernel, the following vulnerability has been resolved:Bluetooth: serialize accept_q accessbt_sock_poll() walks the accept queue without synchronization, whilechild teardown can unlink the same socket and drop its last reference.The unsynchronized accept queue walk has existed since the initialBluetooth import.Protect accept_q with a dedicated lock for queue updates and polling.Also rework bt_accept_dequeue() to take temporary child references underthe queue lock before dropping it and locking the child socket.</t>
  </si>
  <si>
    <t>CVE-2026-52919</t>
  </si>
  <si>
    <t>In the Linux kernel, the following vulnerability has been resolved:batman-adv: fix tp_meter counter underflow during shutdownbatadv_tp_sender_shutdown() unconditionally decrements the "sending"atomic counter. If multiple paths (e.g. timeout, user cancel, andnormal finish) call this function, the counter can underflow to -1.Since the sender logic treats any non-zero value as "still sending",a negative value causes the sender kthread to loop indefinitely.This leads to a use-after-free when the interface is removed whilethe zombie thread is still active.Fix this by using atomic_xchg() to ensure the counter only transitionsfrom 1 to 0 once.[sven: added missing change in batadv_tp_send]</t>
  </si>
  <si>
    <t>CVE-2026-52920</t>
  </si>
  <si>
    <t>In the Linux kernel, the following vulnerability has been resolved:netfilter: xt_policy: fix strict mode inbound policy matchingmatch_policy_in() walks sec_path entries from the last transform to thefirst one, but strict policy matching needs to consume info-&gt;pol[] inthe same forward order as the rule layout.Derive the strict-match policy position from the number of transformsalready consumed so that multi-element inbound rules are matchedconsistently.</t>
  </si>
  <si>
    <t>CVE-2026-52922</t>
  </si>
  <si>
    <t>In the Linux kernel, the following vulnerability has been resolved:batman-adv: dat: handle forward allocation errorbatadv_dat_forward_data() calls pskb_copy_for_clone() to duplicate an skbfor each DHT candidate, but does not check the return value before passingit to batadv_send_skb_prepare_unicast_4addr(). That function dereferencesthe skb unconditionally, so a failed allocation triggers a NULL pointerdereference.Skip forwarding to the current DHT candidate on allocation failure.</t>
  </si>
  <si>
    <t>CVE-2026-52923</t>
  </si>
  <si>
    <t>In the Linux kernel, the following vulnerability has been resolved:ipc: limit next_id allocation to the valid ID rangeThe checkpoint/restore sysctl path can request the next SysV IPC idthrough ids-&gt;next_id.  ipc_idr_alloc() currently forwards that request toidr_alloc() with an open-ended upper bound.If the valid tail of the SysV IPC id space is full, the allocation canspill beyond ipc_mni.  The returned SysV IPC id still uses the normalindex encoding, so later lookup and removal can target the wrong slot.This leaves the real IDR entry behind and breaks the IDR state for theobject.The bug is in ipc_idr_alloc() in the checkpoint/restore path.1. ids-&gt;next_id is passed to:       idr_alloc(&amp;ids-&gt;ipcs_idr, new, ipcid_to_idx(next_id), 0, ...)2. The zero upper bound makes the allocation effectively open-ended.   Once the valid SysV IPC tail is occupied, idr_alloc() can spill past   ipc_mni and allocate an entry beyond the valid IPC id range.3. The new object id is still encoded with the narrower SysV IPC index   width:       new-&gt;id = (new-&gt;seq &lt;&lt; ipcmni_seq_shift()) + idx4. Later removal goes through ipc_rmid(), which uses:       ipcid_to_idx(ipcp-&gt;id)   That truncates the real IDR index. An object actually stored at a   high index can then be removed as if it lived at a low in-range   index.5. For shared memory, shm_destroy() frees the current object anyway, but   the real high IDR slot is left behind as a dangling pointer.6. A subsequent walk of /proc/sysvipc/shm reaches the stale IDR entry   and dereferences freed memory.Prevent this by bounding the requested allocation to ipc_mni so thecheckpoint/restore path fails once the valid range is exhausted.</t>
  </si>
  <si>
    <t>CVE-2026-52924</t>
  </si>
  <si>
    <t>In the Linux kernel, the following vulnerability has been resolved:sctp: purge outqueue on stale COOKIE-ECHO handlingsctp_stream_update() is only invoked when the association is moved intoCOOKIE_WAIT during association setup/reconfiguration. In this path, theoutbound stream scheduler state (stream-&gt;out_curr) is expected to beclean, since no user data should have been transmitted yet unless thestate machine has already partially progressed.However, a corner case exists in sctp_sf_do_5_2_6_stale(): when aStale Cookie ERROR is received, the association is rolled back fromCOOKIE_ECHOED to COOKIE_WAIT. In this scenario, user data may alreadyhave been queued and even bundled with the COOKIE-ECHO chunk.During the rollback, sctp_stream_update() frees the old stream tableand installs a new one, but it does not invalidate stream-&gt;out_curr.As a result, out_curr may still point to a freed sctp_stream_outentry from the previous stream state.Later, SCTP scheduler dequeue paths (FCFS, RR, PRIO, etc.) rely onstream-&gt;out_curr-&gt;ext, which can lead to use-after-free once the oldstream state has been released via sctp_stream_free().This results in crashes such as (reported by Yuqi):  BUG: KASAN: slab-use-after-free in sctp_sched_fcfs_dequeue+0x13a/0x140  Read of size 8 at addr ff1100004d4d3208 by task mini_poc/9312  CPU: 1 UID: 1001 PID: 9312 Comm: mini_poc Not tainted     7.1.0-rc1-00305-gbd3a4795d574 #5 PREEMPT(full)   sctp_sched_fcfs_dequeue+0x13a/0x140   sctp_outq_flush+0x1603/0x33e0   sctp_do_sm+0x31c9/0x5d30   sctp_assoc_bh_rcv+0x392/0x6f0   sctp_inq_push+0x1db/0x270   sctp_rcv+0x138d/0x3c10Fix this by fully purging the association outqueue when handling theStale Cookie case. This ensures all pending transmit and retransmitstate is dropped, and any scheduler cached pointers are invalidated,making it safe to rebuild stream state during COOKIE_WAIT restart.Updating only stream-&gt;out_curr would be insufficient, since queuedand retransmittable data would still reference the old stream state andtrigger later use-after-free in dequeue paths.</t>
  </si>
  <si>
    <t>CVE-2026-52927</t>
  </si>
  <si>
    <t>In the Linux kernel, the following vulnerability has been resolved:netfilter: ebtables: fix OOB read in compat_mtw_from_userLuxiao Xu says: The function compat_mtw_from_user() converts ebtables extensions from 32-bit user structures to kernel native structures. However, it lacks proper validation of the user-supplied match_size/target_size. When certain extensions are processed, the kernel-side translation logic may perform memory accesses based on the extension's expected size. If the user provides a size smaller than what the extension requires, it results in an out-of-bounds read as reported by KASAN. This fix introduces a check to ensure match_size is at least as large as the extension's required compatsize. This covers matches, watchers, and targets, while maintaining compatibility with standard targets.AFAIU this is relevant for matches that need to go thoughmatch-&gt;compat_from_user() call.  Those that use plain memcpy with theuser-provided size are ok because the caller checks that size vs thestart of the next rule entry offset (which itself is checked vs. totalsize copied from userspace).The -&gt;compat_from_user() callbacks assume they can read compatsize bytes,so they need this extra check.Based on an earlier patch from Luxiao Xu.</t>
  </si>
  <si>
    <t>CVE-2026-52929</t>
  </si>
  <si>
    <t>In the Linux kernel, the following vulnerability has been resolved:sctp: stream: fully roll back denied add-stream stateWhen ADD_OUT_STREAMS is denied, SCTP only shrinks the queued chunks andthen lowers outcnt. That leaves removed stream metadata behind, so alater re-add can reuse a stale ext and hit a null-pointer dereference inthe scheduler get path.Fix the rollback by tearing down the removed stream state the same wayother stream resizes do. Unschedule the current scheduler state, dropthe removed stream ext state with sctp_stream_outq_migrate(), and thenreschedule the remaining streams.This keeps scheduler-private RR/FC/PRIO lists consistent while fullyrolling back denied outgoing stream additions.</t>
  </si>
  <si>
    <t>CVE-2026-52932</t>
  </si>
  <si>
    <t>In the Linux kernel, the following vulnerability has been resolved:xfrm: ipcomp: Free destination pages on acomp errorsMove the out_free_req label up by a couple of lines so that theallocated dst SG list gets freed on error as well as success.</t>
  </si>
  <si>
    <t>CVE-2026-52934</t>
  </si>
  <si>
    <t>In the Linux kernel, the following vulnerability has been resolved:batman-adv: tvlv: reject oversized TVLV packetsbatadv_tvlv_container_ogm_append() builds a TVLV packet section fromthe tvlv.container_list. The total size of this section is computed bybatadv_tvlv_container_list_size(), which sums the sizes of all registeredcontainers.The return type and accumulator in batadv_tvlv_container_list_size() wereu16. If the accumulated size exceeds U16_MAX, the value wraps around,causing the subsequent allocation in batadv_tvlv_container_ogm_append()to be undersized. The memcpy-style copy that follows would then writebeyond the end of the allocated buffer, corrupting kernel memory.Fix this by widening the return type of batadv_tvlv_container_list_size()to size_t. In batadv_tvlv_container_ogm_append(), check the computed lengthagainst U16_MAX before proceeding, and bail out as if the allocation hadfailed when the limit is exceeded.</t>
  </si>
  <si>
    <t>CVE-2026-52935</t>
  </si>
  <si>
    <t>In the Linux kernel, the following vulnerability has been resolved:xfrm: espintcp: do not reuse an in-progress partial sendespintcp keeps a single in-flight transmit in ctx-&gt;partial.Before building a new sk_msg, espintcp_sendmsg() first tries to flushthat state through espintcp_push_msgs().For blocking callers, espintcp_push_msgs() may return success even whenthe previous partial send is still pending. espintcp_sendmsg() wouldthen reinitialize emsg-&gt;skmsg and reuse ctx-&gt;partial while the oldtransfer still owns that state.Do not rebuild the send message when ctx-&gt;partial is still in progress.If espintcp_push_msgs() returns with emsg-&gt;len still set, fail the newsend instead of overwriting the live partial state.This is a memory-safety fix: reusing the live partial-send state canleave a stale offset attached to a new sk_msg and lead to an out-of-bounds read in the send path.tcp_sendmsg_locked() already handles waiting for send buffer memory, sothe fix here is just to preserve espintcp's one-message-at-a-timetransmit state.</t>
  </si>
  <si>
    <t>CVE-2026-52942</t>
  </si>
  <si>
    <t>In the Linux kernel, the following vulnerability has been resolved:netfilter: nf_log: validate MAC header was set before dumping itThe fallback path of dump_mac_header() guards the MAC header accessonly with "skb-&gt;mac_header != skb-&gt;network_header", without checkingskb_mac_header_was_set(). When the MAC header is unset, mac_header is0xffff, so the test passes and skb_mac_header(skb) returnsskb-&gt;head + 0xffff, ~64 KiB past the buffer; the loop then readsdev-&gt;hard_header_len bytes out of bounds into the kernel log.This is reachable via the netdev logger: nf_log_unknown_packet() callsdump_mac_header() unconditionally, and an skb sent through AF_PACKETwith PACKET_QDISC_BYPASS reaches the egress hook with mac_header stillunset (__dev_queue_xmit(), which would reset it, is bypassed).Add the skb_mac_header_was_set() check the ARPHRD_ETHER path alreadyuses, and replace the open-coded MAC header length test withskb_mac_header_len(). Only skbs with an unset MAC header are affected;valid ones are dumped as before. BUG: KASAN: slab-out-of-bounds in dump_mac_header(net/netfilter/nf_log_syslog.c:831) Read of size 1 at addr ffff88800ea49d3f by task exploit/148 Call Trace:  kasan_report (mm/kasan/report.c:595)  dump_mac_header (net/netfilter/nf_log_syslog.c:831)  nf_log_netdev_packet (net/netfilter/nf_log_syslog.c:938net/netfilter/nf_log_syslog.c:963)  nf_log_packet (net/netfilter/nf_log.c:260)  nft_log_eval (net/netfilter/nft_log.c:60)  nft_do_chain (net/netfilter/nf_tables_core.c:285)  nft_do_chain_netdev (net/netfilter/nft_chain_filter.c:307)  nf_hook_slow (net/netfilter/core.c:619)  nf_hook_direct_egress (net/packet/af_packet.c:257)  packet_xmit (net/packet/af_packet.c:280)  packet_sendmsg (net/packet/af_packet.c:3114)  __sys_sendto (net/socket.c:2265)</t>
  </si>
  <si>
    <t>CVE-2026-52943</t>
  </si>
  <si>
    <t>In the Linux kernel, the following vulnerability has been resolved:net: skbuff: fix missing zerocopy reference in pskb_carve helperspskb_carve_inside_header() and pskb_carve_inside_nonlinear() both copythe old skb_shared_info header into a new buffer via memcpy(), whichincludes the destructor_arg pointer (uarg) for MSG_ZEROCOPY skbs.Neither function calls net_zcopy_get() for the new shinfo, creating anunaccounted holder: every skb_shared_info with destructor_arg set willcall skb_zcopy_clear() once when freed, but the correspondingnet_zcopy_get() was never called for the new copy. Repeated callsdrive uarg-&gt;refcnt to zero prematurely, freeing ubuf_info_msgzc whileTX skbs still hold live destructor_arg pointers.KASAN reports use-after-free on a freed ubuf_info_msgzc:  BUG: KASAN: slab-use-after-free in skb_release_data+0x77b/0x810  Read of size 8 at addr ffff88801574d3e8 by task poc/220  Call Trace:   skb_release_data+0x77b/0x810   kfree_skb_list_reason+0x13e/0x610   skb_release_data+0x4cd/0x810   sk_skb_reason_drop+0xf3/0x340   skb_queue_purge_reason+0x282/0x440   rds_tcp_inc_free+0x1e/0x30   rds_recvmsg+0x354/0x1780   __sys_recvmsg+0xdf/0x180  Allocated by task 219:   msg_zerocopy_realloc+0x157/0x7b0   tcp_sendmsg_locked+0x2892/0x3ba0  Freed by task 219:   ip_recv_error+0x74a/0xb10   tcp_recvmsg+0x475/0x530The skb consuming the late access still referenced the same uarg viashinfo-&gt;destructor_arg copied by pskb_carve_inside_nonlinear() withouta refcount bump. This has been verified to be reliably exploitable: aworking proof-of-concept achieves full root privilege escalation froman unprivileged local user on a default kernel configuration.The fix follows the pattern of pskb_expand_head() which has the samememcpy/cloned structure. For pskb_carve_inside_header(), net_zcopy_get()is placed after skb_orphan_frags() succeeds, so the orphan error pathneeds no cleanup. For pskb_carve_inside_nonlinear(), net_zcopy_get() isplaced after all failure points and just before skb_release_data(), sono error path needs cleanup at all -- matching pskb_expand_head() moreclosely and avoiding the need for a balancing net_zcopy_put().</t>
  </si>
  <si>
    <t>CVE-2026-52947</t>
  </si>
  <si>
    <t>In the Linux kernel, the following vulnerability has been resolved:net: qrtr: fix refcount saturation and potential UAF in qrtr_port_removeIn qrtr_port_remove(), the socket reference count is decremented via__sock_put() before the port is removed from the qrtr_ports XArray andbefore the RCU grace period elapses.This breaks the fundamental RCU update paradigm. It exposes a racewindow where a concurrent RCU reader (such as qrtr_reset_ports() orqrtr_port_lookup()) can obtain a pointer to the socket from the XArray,and attempt to call sock_hold() on a socket whose reference count hasalready dropped to zero.This exact race condition was hit during syzkaller fuzzing, leading tothe following refcount saturation warning and a potential Use-After-Free:  refcount_t: saturated; leaking memory.  WARNING: CPU: 3 PID: 1273 at lib/refcount.c:22refcount_warn_saturate+0xae/0x1d0  Modules linked in: qrtr(+) bochs drm_shmem_helper ...  Call Trace:   &lt;TASK&gt;   qrtr_reset_ports net/qrtr/af_qrtr.c:768 [inline] [qrtr]   __qrtr_bind.isra.0+0x48b/0x570 net/qrtr/af_qrtr.c:805 [qrtr]   qrtr_bind+0x17d/0x210 net/qrtr/af_qrtr.c:901 [qrtr]   kernel_bind+0xe4/0x120 net/socket.c:3592   qrtr_ns_init+0x1a6/0x380 net/qrtr/ns.c:715 [qrtr]   qrtr_proto_init+0x3b/0xff0 net/qrtr/af_qrtr.c:169 [qrtr]   do_one_initcall+0xf5/0x5e0 init/main.c:1283   ...   &lt;/TASK&gt;Fix this by deferring the reference count decrement until after thexa_erase() and the synchronize_rcu() complete.(Note: The v1 of this patch incorrectly replaced __sock_put() withsock_put(). As Simon Horman pointed out, the callers of qrtr_port_remove()still hold a reference to the socket, so freeing the socket memory herewould lead to a subsequent UAF in the caller. Thus, the __sock_put() iskept, but only repositioned to close the RCU race.)</t>
  </si>
  <si>
    <t>CVE-2026-52950</t>
  </si>
  <si>
    <t>In the Linux kernel, the following vulnerability has been resolved:drm/xe/dma-buf: fix UAF with retry loopRetry doesn't work here, since bo will be freed on error, leading toUAF. However, now that we do the alloc &amp; init before the attach, we cannow combine this as one unit and have the init do the alloc for us. Thisshould make the retry safe.Reported by Sashiko.v2: Fix up the error unwind (CI)(cherry picked from commit 479669418253e0f27f8cf5db01a731352ea592e7)</t>
  </si>
  <si>
    <t>CVE-2026-52951</t>
  </si>
  <si>
    <t>In the Linux kernel, the following vulnerability has been resolved:drm/xe/dma-buf: handle empty bo and UAF racesThere look to be some nasty races here when triggering theinvalidate_mappings hook:1) We do xe_bo_alloc() followed by the attach, before the actual full bo   init step in xe_dma_buf_init_obj(). However the bo is visible on the   attachments list after the attach.  This is bad since exporter driver,   say amdgpu, can at any time call back into our invalidate_mappings hook,   with an empty/bogus bo, leading to potential bugs/crashes.2) Similar to 1) but here we get a UAF, when the invalidate_mappings   hook is triggered. For example, we get as far as xe_bo_init_locked()   but this fails in some way. But here the bo will be freed on error, but   we still have it attached from dma-buf pov, so if the   invalidate_mappings is now triggered then the bo we access is gone and   we trigger UAF and more bugs/crashes.To fix this, move the attach step until after we actually have a fullyset up buffer object. Note that the bo is not published to userspaceuntil later, so not sure what the comment "Don't publish the bountil we have a valid attachment", is referring to.We have at least two different customers reporting hitting a NULL ptrderef in evict_flags when importing something from amdgpu, followed bytriggering the evict flow. Hit rate is also pretty low, which wouldhint at some kind of race, so something like 1) or 2) might explainthis.v2:  - Shuffle the order of the ops slightly (no functional change)  - Improve the comment to better explain the ordering (Matt B)(cherry picked from commit af1f2ad0c59fe4e2f924c526f66e968289d77971)</t>
  </si>
  <si>
    <t>CVE-2026-52952</t>
  </si>
  <si>
    <t>In the Linux kernel, the following vulnerability has been resolved:iommu: Fix WARN_ON in __iommu_group_set_domain_nofail() due to resetIn __iommu_group_set_domain_internal(), concurrent domain attachments arerejected when any device in the group is recovering. This is necessary tofence concurrent attachments to a multi-device group where devices mightshare the same RID due to PCI DMA alias quirks, but triggers the WARN_ON in__iommu_group_set_domain_nofail().Other IOMMU_SET_DOMAIN_MUST_SUCCEED callers in detach/teardown paths, suchas __iommu_group_set_core_domain and __iommu_release_dma_ownership, shouldnot be rejected, as the domain would be freed anyway in these nofail pathswhile group-&gt;domain is still pointing to it. So pci_dev_reset_iommu_done()could trigger a UAF when re-attaching group-&gt;domain.Honor the IOMMU_SET_DOMAIN_MUST_SUCCEED flag, allowing the callers throughthe group-&gt;recovery_cnt fence, so as to update the group-&gt;domain pointer.Instead add a gdev-&gt;blocked check in the device iteration loop, to preventany concurrent per-device detachment.</t>
  </si>
  <si>
    <t>CVE-2026-52953</t>
  </si>
  <si>
    <t>In the Linux kernel, the following vulnerability has been resolved:iommu/vt-d: Fix oops due to out of scope accessBelow oops triggers when kill QEMU process:  Oops: general protection fault, probably for non-canonical address0x7fffffff844eaaa7: 0000 [#1] SMP NOPTI  Call Trace:   &lt;TASK&gt;   do_raw_spin_lock+0xaa/0xc0   _raw_spin_lock_irqsave+0x21/0x40   domain_remove_dev_pasid+0x52/0x160   intel_nested_set_dev_pasid+0x1b9/0x1e0   __iommu_set_group_pasid+0x56/0x120   pci_dev_reset_iommu_done+0xe3/0x180   pcie_flr+0x65/0x160   __pci_reset_function_locked+0x5b/0x120   vfio_pci_core_close_device+0x63/0xe0 [vfio_pci_core]   vfio_df_close+0x4f/0xa0   vfio_df_unbind_iommufd+0x2d/0x60   vfio_device_fops_release+0x3e/0x40   __fput+0xe5/0x2c0   task_work_run+0x58/0xa0   do_exit+0x2c8/0x600   do_group_exit+0x2f/0xa0   get_signal+0x863/0x8c0   arch_do_signal_or_restart+0x24/0x100   exit_to_user_mode_loop+0x87/0x380   do_syscall_64+0x2ff/0x11e0   entry_SYSCALL_64_after_hwframe+0x76/0x7eThe global static blocked domain is a dummy domain without correspondingdmar_domain structure, accessing beyond iommu_domain structure triggersoops easily. Fix it by return early in domain_remove_dev_pasid() likeidentity domain.</t>
  </si>
  <si>
    <t>CVE-2026-52954</t>
  </si>
  <si>
    <t>In the Linux kernel, the following vulnerability has been resolved:libceph: handle rbtree insertion error in decode_choose_args()A message of type CEPH_MSG_OSD_MAP contains an OSD map that itselfcontains a CRUSH map. The received CRUSH map may optionally containchoose_args that get decoded in decode_choose_args(). In this function,num_choose_arg_maps is read from the message, and a corresponding numberof crush_choose_arg_maps gets decoded afterwards. Eachcrush_choose_arg_map has a choose_args_index, which serves as the keywhen inserting it into the choose_args rbtree of the decoded crush_map.If a (potentially corrupted) message contains two crush_choose_arg_mapswith the same index, the assertion in insert_choose_arg_map() triggers akernel BUG when trying to insert the second crush_choose_arg_map.This patch fixes the issue by switching to the non-asserting rbtreeinsertion function and rejecting the message if the insertion fails.[ idryomov: changelog ]</t>
  </si>
  <si>
    <t>CVE-2026-52956</t>
  </si>
  <si>
    <t>In the Linux kernel, the following vulnerability has been resolved:libceph: Fix potential out-of-bounds access in __ceph_x_decrypt()In __ceph_x_decrypt(), a part of the buffer p is interpreted as aceph_x_encrypt_header, and the magic field of this struct is accessed.This happens without any guarantee that the buffer is large enough tohold this struct. The function parameter ciphertext_len represents thelength of the ciphertext to decrypt and is guaranteed to be at most theremaining size of the allocated buffer p. However, this value is notnecessarily greater than sizeof(ceph_x_encrypt_header). E.g., a messageframe of type FRAME_TAG_AUTH_REPLY_MORE, that is just as long to holdthe ciphertext at its end with a ciphertext_len of 8 or less, cantrigger an out-of-bounds memory access when accessing hdr-&gt;magic.This patch fixes the issue by adding a check to ensure that thedecrypted plaintext in the buffer is large enough to represent at leastthe ceph_x_encrypt_header.</t>
  </si>
  <si>
    <t>CVE-2026-52957</t>
  </si>
  <si>
    <t>In the Linux kernel, the following vulnerability has been resolved:libceph: Fix potential null-ptr-deref in decode_choose_args()A message of type CEPH_MSG_OSD_MAP contains an OSD map that itselfcontains a CRUSH map. When decoding this CRUSH map in crush_decode(), anarray of max_buckets CRUSH buckets is decoded, where some indices maynot refer to actual buckets and are therefore set to NULL. The receivedCRUSH map may optionally contain choose_args that get decoded indecode_choose_args(). When decoding a crush_choose_arg_map, a series ofchoose_args for different buckets is decoded, with the bucket_indexbeing read from the incoming message. It is only checked that the bucketindex does not exceed max_buckets, but not that it doesn't point to anindex with a NULL bucket. If a (potentially corrupted) message containsa crush_choose_arg_map including such a bucket_index, a null pointerdereference may occur in the subsequent processing when attempting toaccess the bucket with the given index.This patch fixes the issue by extending the affected check. Now, it isonly attempted to access the bucket if it is not NULL.</t>
  </si>
  <si>
    <t>CVE-2026-52959</t>
  </si>
  <si>
    <t>In the Linux kernel, the following vulnerability has been resolved:virt: sev-guest: Do not use host-controlled page order in cleanup pathWhen issuing an extended guest request (SVM_VMGEXIT_EXT_GUEST_REQUEST),get_ext_report() allocates a buffer to retrieve a certificate blob from thehost, keeping track of its size in report_req-&gt;certs_len.However, the host may return SNP_GUEST_VMM_ERR_INVALID_LEN, indicatingan invalid buffer size, as well as the expected length of such buffer.get_ext_report() subsequently updates report_req-&gt;certs_len with thehost-controlled value, and cleans up the buffer by computing a page orderfrom such value. This is incorrect, as the host-provided length may notmatch the page order of the original allocation, potentially resultingin corruption in the page allocator.Fix this by using alloc_pages_exact() instead, and reusing @npages tocompute the size passed to free_pages_exact(). For consistency, alsouse @npages to compute the size when allocating the pages, even thoughthis last change has no functional effect.</t>
  </si>
  <si>
    <t>CVE-2026-52960</t>
  </si>
  <si>
    <t>In the Linux kernel, the following vulnerability has been resolved:ceph: put folios not suitable for writebackThe batch holds references to the folios (see `filemap_get_folios`,`folio_batch_release`), so we need to `folio_put` the folios we remove.Tested on v6.18.</t>
  </si>
  <si>
    <t>CVE-2026-52967</t>
  </si>
  <si>
    <t>In the Linux kernel, the following vulnerability has been resolved:smb/client: fix possible infinite loop and oob read in symlink_data()On 32-bit architectures, the infinite loop is as follows:  len = p-&gt;ErrorDataLength == 0xfffffff8  u8 *next = p-&gt;ErrorContextData + len  next == pOn 32-bit architectures, the out-of-bounds read is as follows:  len = p-&gt;ErrorDataLength == 0xfffffff0  u8 *next = p-&gt;ErrorContextData + len  next == (u8 *)p - 8</t>
  </si>
  <si>
    <t>CVE-2026-52969</t>
  </si>
  <si>
    <t>In the Linux kernel, the following vulnerability has been resolved:KVM: Reject wrapped offset in kvm_reset_dirty_gfn()kvm_reset_dirty_gfn() guards the gfn range withif (!memslot || (offset + __fls(mask)) &gt;= memslot-&gt;npages)return;but offset is u64 and the addition is unchecked.  The check can besilently bypassed by a u64 wrap.The dirty ring backing those entries is MAP_SHARED atKVM_DIRTY_LOG_PAGE_OFFSET of the vcpu fd, so the VMM can rewrite theslot and offset fields of any entry between when the kernel pushesthem and when KVM_RESET_DIRTY_RINGS consumes them.  On reset,kvm_dirty_ring_reset() re-reads the values via READ_ONCE() and feedsthem straight back into this check; only the flags handshake istreated as the handover, the slot/offset payload is taken on trust.Crafting two entriesentry[i].offset   = 0xffffffffffffffc1entry[i+1].offset = 0makes the coalescing loop in kvm_dirty_ring_reset() computedelta = (s64)(0 - 0xffffffffffffffc1) = 63which falls in [0, BITS_PER_LONG), so it folds entry[i+1] into theexisting mask by setting bit 63.  The trailing kvm_reset_dirty_gfn()call then sees offset = 0xffffffffffffffc1 and __fls(mask) = 63;the sum is 0 in u64 and the bounds check passes.That offset propagates into kvm_arch_mmu_enable_log_dirty_pt_masked()unchanged.  On the legacy MMU path -- kvm_memslots_have_rmaps() ==true, i.e. shadow paging, any VM that has allocated shadow roots, ora write-tracked slot -- it reaches gfn_to_rmap(), which indexesslot-&gt;arch.rmap[0][] with a near-U64_MAX gfn.  That is anout-of-bounds load of a kvm_rmap_head, followed by a conditionalclear of PT_WRITABLE_MASK in whatever the loaded pointer points at.The path is reachable from any process holding /dev/kvm.Range-check offset on its own first, so the addition cannot wrap.memslot-&gt;npages is bounded well below U64_MAX, so once offset &lt;npages holds, offset + __fls(mask) (with __fls(mask) &lt; BITS_PER_LONG)stays in range.</t>
  </si>
  <si>
    <t>CVE-2026-52971</t>
  </si>
  <si>
    <t>In the Linux kernel, the following vulnerability has been resolved:net: ena: PHC: Fix potential use-after-free in get_timestampMove the phc-&gt;active check and resp pointer assignment to afteracquiring the spinlock. Previously, phc-&gt;active was checked withoutholding the lock, and resp was cached from ena_dev-&gt;phc.virt_addrbefore the lock was acquired.If ena_com_phc_destroy() runs between the lockless active check andthe lock acquisition, it sets active=false, releases the lock, freesthe DMA memory, and sets virt_addr=NULL. The get_timestamp path wouldthen read a NULL virt_addr and dereference it.With both the active check and the pointer read under the lock,destroy cannot free the memory while get_timestamp is using it.</t>
  </si>
  <si>
    <t>CVE-2026-52973</t>
  </si>
  <si>
    <t>In the Linux kernel, the following vulnerability has been resolved:futex: Drop CLONE_THREAD requirement for private default hash allocCurrently need_futex_hash_allocate_default() depends on strict pthreadsemantics, abusing CLONE_THREAD.  This breaks the non-concurrencyassumptions when doing the mm-&gt;futex_ref pcpu allocations, leading tobugs[0] when sharing the mm in other ways; ie:    BUG: KASAN: slab-use-after-free in futex_hash_put... where the +1 bias can end up on a percpu counter that mm-&gt;futex_refno longer points at.Loosen the check to cover any CLONE_VM clone, except vfork().  Excludingvfork keeps the existing paths untouched (no overhead), and we can'trace in the first place: either the parent is suspended and the childruns alone, or mm-&gt;futex_ref is already allocated from an earlierCLONE_VM.</t>
  </si>
  <si>
    <t>CVE-2026-52974</t>
  </si>
  <si>
    <t>In the Linux kernel, the following vulnerability has been resolved:net: tls: fix strparser anchor skb leak on offload RX setup failureWhen tls_set_device_offload_rx() fails at tls_dev_add(), the error pathcalls tls_sw_free_resources_rx() to clean up the SW context that wasinitialized by tls_set_sw_offload(). This function callstls_sw_release_resources_rx() (which stops the strparser viatls_strp_stop()) and tls_sw_free_ctx_rx() (which kfrees the context),but never frees the anchor skb that was allocated by alloc_skb(0) intls_strp_init().Note that tls_sw_free_resources_rx() is exclusively used for this"failed to start offload" code path, there's no other caller.The leak did not exist before commit 84c61fe1a75b ("tls: rx: do not usethe standard strparser"), because the standard strparser doesn't tryto pre-allocate an skb.The normal close path in tls_sk_proto_close() handles cleanup by callingtls_sw_strparser_done() (which calls tls_strp_done()) after droppingthe socket lock, because tls_strp_done() does cancel_work_sync() andthe strparser work handler takes the socket lock.</t>
  </si>
  <si>
    <t>CVE-2026-52975</t>
  </si>
  <si>
    <t>In the Linux kernel, the following vulnerability has been resolved:bonding: 3ad: implement proper RCU rules for port-&gt;aggregatorsyzbot found a data-race in bond_3ad_get_active_agg_info /bond_3ad_state_machine_handler [1] which hints at lack of properRCU implementation.Add __rcu qualifier to port-&gt;aggregator, and add proper RCU API.[1]BUG: KCSAN: data-race in bond_3ad_get_active_agg_info /bond_3ad_state_machine_handlerwrite to 0xffff88813cf5c4b0 of 8 bytes by task 36 on cpu 0:  ad_port_selection_logic drivers/net/bonding/bond_3ad.c:1659 [inline]  bond_3ad_state_machine_handler+0x9d5/0x2d60drivers/net/bonding/bond_3ad.c:2569  process_one_work kernel/workqueue.c:3302 [inline]  process_scheduled_works+0x4f0/0x9c0 kernel/workqueue.c:3385  worker_thread+0x58a/0x780 kernel/workqueue.c:3466  kthread+0x22a/0x280 kernel/kthread.c:436  ret_from_fork+0x146/0x330 arch/x86/kernel/process.c:158  ret_from_fork_asm+0x1a/0x30 arch/x86/entry/entry_64.S:245read to 0xffff88813cf5c4b0 of 8 bytes by task 22063 on cpu 1:  __bond_3ad_get_active_agg_info drivers/net/bonding/bond_3ad.c:2858[inline]  bond_3ad_get_active_agg_info+0x8c/0x230drivers/net/bonding/bond_3ad.c:2881  bond_fill_info+0xe0f/0x10f0 drivers/net/bonding/bond_netlink.c:853  rtnl_link_info_fill net/core/rtnetlink.c:906 [inline]  rtnl_link_fill+0x1d7/0x4e0 net/core/rtnetlink.c:927  rtnl_fill_ifinfo+0xf8e/0x1380 net/core/rtnetlink.c:2168  rtmsg_ifinfo_build_skb+0x11c/0x1b0 net/core/rtnetlink.c:4453  rtmsg_ifinfo_event net/core/rtnetlink.c:4486 [inline]  rtmsg_ifinfo+0x6d/0x110 net/core/rtnetlink.c:4495  __dev_notify_flags+0x76/0x390 net/core/dev.c:9790  netif_change_flags+0xac/0xd0 net/core/dev.c:9823  do_setlink+0x905/0x2950 net/core/rtnetlink.c:3180  rtnl_group_changelink net/core/rtnetlink.c:3813 [inline]  __rtnl_newlink net/core/rtnetlink.c:3981 [inline]  rtnl_newlink+0xf55/0x1400 net/core/rtnetlink.c:4109  rtnetlink_rcv_msg+0x64b/0x720 net/core/rtnetlink.c:6995  netlink_rcv_skb+0x123/0x220 net/netlink/af_netlink.c:2550  rtnetlink_rcv+0x1c/0x30 net/core/rtnetlink.c:7022  netlink_unicast_kernel net/netlink/af_netlink.c:1318 [inline]  netlink_unicast+0x5a8/0x680 net/netlink/af_netlink.c:1344  netlink_sendmsg+0x5c8/0x6f0 net/netlink/af_netlink.c:1894  sock_sendmsg_nosec net/socket.c:787 [inline]  __sock_sendmsg net/socket.c:802 [inline]  ____sys_sendmsg+0x563/0x5b0 net/socket.c:2698  ___sys_sendmsg+0x195/0x1e0 net/socket.c:2752  __sys_sendmsg net/socket.c:2784 [inline]  __do_sys_sendmsg net/socket.c:2789 [inline]  __se_sys_sendmsg net/socket.c:2787 [inline]  __x64_sys_sendmsg+0xd4/0x160 net/socket.c:2787  x64_sys_call+0x194c/0x3020arch/x86/include/generated/asm/syscalls_64.h:47  do_syscall_x64 arch/x86/entry/syscall_64.c:63 [inline]  do_syscall_64+0x12c/0x3b0 arch/x86/entry/syscall_64.c:94 entry_SYSCALL_64_after_hwframe+0x77/0x7fvalue changed: 0x0000000000000000 -&gt; 0xffff88813cf5c400Reported by Kernel Concurrency Sanitizer on:CPU: 1 UID: 0 PID: 22063 Comm: syz.0.31122 Tainted: G        Wsyzkaller #0 PREEMPT(full)Tainted: [W]=WARNHardware name: Google Google Compute Engine/Google Compute Engine, BIOSGoogle 04/18/2026</t>
  </si>
  <si>
    <t>CVE-2026-52976</t>
  </si>
  <si>
    <t>In the Linux kernel, the following vulnerability has been resolved:drm/xe: Fix error cleanup in xe_exec_queue_create_ioctl()Two error handling issues exist in xe_exec_queue_create_ioctl():1. When xe_hw_engine_group_add_exec_queue() fails, the error path jumps   to put_exec_queue which skips xe_exec_queue_kill(). If the VM is in   preempt fence mode, xe_vm_add_compute_exec_queue() has already added   the queue to the VM's compute exec queue list. Skipping the kill   leaves the queue on that list, leading to a dangling pointer after   the queue is freed.2. When xa_alloc() fails after xe_hw_engine_group_add_exec_queue() has   succeeded, the error path does not call   xe_hw_engine_group_del_exec_queue() to remove the queue from the hw   engine group list. The queue is then freed while still linked into   the hw engine group, causing a use-after-free.Fix both by:- Changing the xe_hw_engine_group_add_exec_queue() failure path to jump  to kill_exec_queue so that xe_exec_queue_kill() properly removes the  queue from the VM's compute list.- Adding a del_hw_engine_group label before kill_exec_queue for the  xa_alloc() failure path, which removes the queue from the hw engine  group before proceeding with the rest of the cleanup.(cherry picked from commit 37c831f401746a45d510b312b0ed7a77b1e06ec8)</t>
  </si>
  <si>
    <t>CVE-2026-52981</t>
  </si>
  <si>
    <t>In the Linux kernel, the following vulnerability has been resolved:neigh: let neigh_xmit take skb ownershipneigh_xmit always releases the skb, except when no neighbour table isfound. But even the first added user of neigh_xmit (mpls) relied onneigh_xmit to release the skb (or queue it for tx).sashiko reported: If neigh_xmit() is called with an uninitialized neighbor table (for example, NEIGH_ND_TABLE when IPv6 is disabled), it returns -EAFNOSUPPORT and bypasses its internal out_kfree_skb error path.  Because the return value of neigh_xmit() is ignored here, does this leak the SKB?Assume full ownership and remove the last code path that doesn'txmit or free skb.</t>
  </si>
  <si>
    <t>CVE-2026-52983</t>
  </si>
  <si>
    <t>In the Linux kernel, the following vulnerability has been resolved:net: airoha: fix BQL imbalance in TX pathFix a possible BQL imbalance in airoha_dev_xmit(), where inflightpackets are accounted only for the AIROHA_NUM_TX_RING netdev TXqueues. The queue index is computed as:    qid = skb_get_queue_mapping(skb) % ARRAY_SIZE(qdma-&gt;q_tx)    txq = netdev_get_tx_queue(dev, qid);However, airoha_qdma_tx_napi_poll() accounts completions across allnetdev TX queues (num_tx_queues), leading to inconsistent BQLaccounting.Also reset all netdev TX queues in the ndo_stop callback.</t>
  </si>
  <si>
    <t>CVE-2026-52987</t>
  </si>
  <si>
    <t>In the Linux kernel, the following vulnerability has been resolved:drm/amdgpu: avoid double drm_exec_fini() in userq validateWhen new_addition is true, amdgpu_userq_vm_validate() callsdrm_exec_fini(&amp;exec) before iterating over the collected HMM ranges andcalling amdgpu_ttm_tt_get_user_pages().If amdgpu_ttm_tt_get_user_pages() fails in that path, the code jumps tounlock_all and calls drm_exec_fini(&amp;exec) a second time on the sameexec object. drm_exec_fini() is not idempotent: it frees exec-&gt;objectsand may also drop exec-&gt;contended and finalize the ww acquire context.Route that error path directly to the range cleanup once exec hasalready been finalized.Issue found using a prototype static analysis tooland confirmed by code review.(cherry picked from commit 2802952e4a07306da6ebe813ff1acacc5691851a)</t>
  </si>
  <si>
    <t>CVE-2026-52988</t>
  </si>
  <si>
    <t>In the Linux kernel, the following vulnerability has been resolved:netfilter: nf_tables: join hook list via splice_list_rcu() in commit phasePublish new hooks in the list into the basechain/flowtable usingsplice_list_rcu() to ensure netlink dump list traversal via rcu is safewhile concurrent ruleset update is going on.</t>
  </si>
  <si>
    <t>CVE-2026-52991</t>
  </si>
  <si>
    <t>In the Linux kernel, the following vulnerability has been resolved:sched/psi: fix race between file release and pressure writeA potential race condition exists between pressure write and cgroup filerelease regarding the priv member of struct kernfs_open_file, whichtriggers the uaf reported in [1].Consider the following scenario involving execution on two separate CPUs:   CPU0CPU1   ========vfs_rmdir()kernfs_iop_rmdir()cgroup_rmdir()cgroup_kn_lock_live()cgroup_destroy_locked()cgroup_addrm_files()cgroup_rm_file()kernfs_remove_by_name()kernfs_remove_by_name_ns() vfs_write()__kernfs_remove() new_sync_write()kernfs_drain() kernfs_fop_write_iter()kernfs_drain_open_files() cgroup_file_write()kernfs_release_file() pressure_write()cgroup_file_release() ctx = of-&gt;priv;kfree(ctx); of-&gt;priv = NULL;cgroup_kn_unlock() cgroup_kn_lock_live() cgroup_get(cgrp) cgroup_kn_unlock() if (ctx-&gt;psi.trigger)  // here, trigger uaf for ctx, that is of-&gt;privThe cgroup_rmdir() is protected by the cgroup_mutex, it also safeguardsthe memory deallocation of of-&gt;priv performed within cgroup_file_release().However, the operations involving of-&gt;priv executed within pressure_write()are not entirely covered by the protection of cgroup_mutex. Consequently,if the code in pressure_write(), specifically the section handling thectx variable executes after cgroup_file_release() has completed, a uafvulnerability involving of-&gt;priv is triggered.Therefore, the issue can be resolved by extending the scope of thecgroup_mutex lock within pressure_write() to encompass all code pathsinvolving of-&gt;priv, thereby properly synchronizing the race conditionoccurring between cgroup_file_release() and pressure_write().And, if an live kn lock can be successfully acquired while executingthe pressure write operation, it indicates that the cgroup deletionprocess has not yet reached its final stage; consequently, the privpointer within open_file cannot be NULL. Therefore, the operation toretrieve the ctx value must be moved to a point *after* the live knlock has been successfully acquired.In another situation, specifically after entering cgroup_kn_lock_live()but before acquiring cgroup_mutex, there exists a different class ofrace condition:CPU0: write memory.pressure               CPU1: write cgroup.pressure=0===========================  =============================kernfs_fop_write_iter() kernfs_get_active_of(of) pressure_write()   cgroup_kn_lock_live(memory.pressure)     cgroup_tryget(cgrp)     kernfs_break_active_protection(kn)     ... blocks on cgroup_mutex                                       cgroup_pressure_write()cgroup_kn_lock_live(cgroup.pressure)                                       cgroup_file_show(memory.pressure,false)                                         kernfs_show(false)                                           kernfs_drain_open_files()                                             cgroup_file_release(of)                                               kfree(ctx)                                                 of-&gt;priv = NULL                                       cgroup_kn_unlock()   ... acquires cgroup_mutex   ctx = of-&gt;priv;        // may now be NULL   if (ctx-&gt;psi.trigger)  // NULL dereferenceConsequently, there is a possibility that of-&gt;priv is NULL, the pressurewrite needs to check for this.Now that the scope of the cgroup_mutex has been expanded, the originalexplicit cgroup_get/put operations are no longer necessary, this isbecause acquiring/releasing the live kn lock inherently executes acgroup get/put operation.[1]BUG: KASAN: slab-use-after-free in pressure_write+0xa4/0x210kernel/cgroup/cgroup.c:4011Call Trace: pressure_write+0xa4/0x210 kernel/cgroup/cgroup.c:4011 cgroup_file_write+0x36f/0x790 kernel/cgroup/cgroup.c:43---truncated---</t>
  </si>
  <si>
    <t>CVE-2026-52998</t>
  </si>
  <si>
    <t>In the Linux kernel, the following vulnerability has been resolved:netfilter: nfnetlink_osf: fix potential NULL dereference in ttl checkThe nf_osf_ttl() function accessed skb-&gt;dev to perform a local interfaceaddress lookup without verifying that the device pointer was valid.Additionally, the implementation utilized an in_dev_for_each_ifa_rculoop to match the packet source address against local interfaceaddresses. It assumed that packets from the same subnet should not see adecrement on the initial TTL. A packet might appear it is from the samesubnet but it actually isn't especially in modern environments withcontainers and virtual switching.Remove the device dereference and interface loop. Replace the logic witha switch statement that evaluates the TTL according to the ttl_check.</t>
  </si>
  <si>
    <t>CVE-2026-53000</t>
  </si>
  <si>
    <t>In the Linux kernel, the following vulnerability has been resolved:netfilter: nat: use kfree_rcu to release opsFlorian Westphal says:"Historically this is not an issue, even for normal base hooks: the datapath doesn't use the original nf_hook_ops that are used to register thecallbacks.However, in v5.14 I added the ability to dump the active netfilterhooks from userspace.This code will peek back into the nf_hook_ops that are availableat the tail of the pointer-array blob used by the datapath.The nat hooks are special, because they are called indirectly fromthe central nat dispatcher hook. They are currently invisible tothe nfnl hook dump subsystem though.But once that changes the nat ops structures have to be deferred too."Update nf_nat_register_fn() to deal with partial exposition of the hooksfrom error path which can be also an issue for nfnetlink_hook.</t>
  </si>
  <si>
    <t>CVE-2026-53003</t>
  </si>
  <si>
    <t>In the Linux kernel, the following vulnerability has been resolved:pppoe: drop PFC framesRFC 2516 Section 7 states that Protocol Field Compression (PFC) is NOTRECOMMENDED for PPPoE. In practice, pppd does not support negotiatingPFC for PPPoE sessions, and the current PPPoE driver assumes anuncompressed (2-byte) protocol field. However, the generic PPP layerfunction ppp_input() is not aware of the negotiation result, and stillaccepts PFC frames.If a peer with a broken implementation or an attacker sends a frame witha compressed (1-byte) protocol field, the subsequent PPP payload isshifted by one byte. This causes the network header to be 4-bytemisaligned, which may trigger unaligned access exceptions on somearchitectures.To reduce the attack surface, drop PPPoE PFC frames. Introduceppp_skb_is_compressed_proto() helper function to be used in bothppp_generic.c and pppoe.c to avoid open-coding.</t>
  </si>
  <si>
    <t>CVE-2026-53005</t>
  </si>
  <si>
    <t>In the Linux kernel, the following vulnerability has been resolved:af_unix: Drop all SCM attributes for SOCKMAP.SOCKMAP can hide inflight fd from AF_UNIX GC.When a socket in SOCKMAP receives skb with inflight fd,sk_psock_verdict_data_ready() looks up the mapped socket andenqueue skb to its psock-&gt;ingress_skb.Since neither the old nor the new GC can inspect the psockqueue, the hidden skb leaks the inflight sockets.  Note thatthis cannot be detected via kmemleak because inflight socketsare linked to a global list.In addition, SOCKMAP redirect breaks the Tarjan-based GC'sassumption that unix_edge.successor is always alive, whichis no longer true once skb is redirected, resulting inuse-after-free below. [0]Moreover, SOCKMAP does not call scm_stat_del() properly,so unix_show_fdinfo() could report an incorrect fd count.sk_msg_recvmsg() does not support any SCM attributes in thefirst place.Let's drop all SCM attributes before passing skb to theSOCKMAP layer.[0]:BUG: KASAN: slab-use-after-free in unix_del_edges (net/unix/garbage.c:118net/unix/garbage.c:181 net/unix/garbage.c:251)Read of size 8 at addr ffff888125362670 by task kworker/56:1/496CPU: 56 UID: 0 PID: 496 Comm: kworker/56:1 Not tainted7.0.0-rc7-00263-gb9d8b856689d #3 PREEMPT(lazy)Hardware name: QEMU Standard PC (i440FX + PIIX, 1996), BIOS1.17.0-debian-1.17.0-1 04/01/2014Workqueue: events sk_psock_backlogCall Trace: &lt;TASK&gt; dump_stack_lvl (lib/dump_stack.c:122) print_report (mm/kasan/report.c:379) kasan_report (mm/kasan/report.c:597) unix_del_edges (net/unix/garbage.c:118 net/unix/garbage.c:181net/unix/garbage.c:251) unix_destroy_fpl (net/unix/garbage.c:317) unix_destruct_scm (./include/net/scm.h:80 ./include/net/scm.h:86net/unix/af_unix.c:1976) sk_psock_backlog (./include/linux/skbuff.h:?) process_scheduled_works (kernel/workqueue.c:?) worker_thread (kernel/workqueue.c:?) kthread (kernel/kthread.c:438) ret_from_fork (arch/x86/kernel/process.c:164) ret_from_fork_asm (arch/x86/entry/entry_64.S:258) &lt;/TASK&gt;Allocated by task 955: kasan_save_track (mm/kasan/common.c:58 mm/kasan/common.c:78) __kasan_slab_alloc (mm/kasan/common.c:369) kmem_cache_alloc_noprof (mm/slub.c:4539) sk_prot_alloc (net/core/sock.c:2240) sk_alloc (net/core/sock.c:2301) unix_create1 (net/unix/af_unix.c:1099) unix_create (net/unix/af_unix.c:1169) __sock_create (net/socket.c:1606) __sys_socketpair (net/socket.c:1811) __x64_sys_socketpair (net/socket.c:1863 net/socket.c:1860net/socket.c:1860) do_syscall_64 (arch/x86/entry/syscall_64.c:?) entry_SYSCALL_64_after_hwframe (arch/x86/entry/entry_64.S:130)Freed by task 496: kasan_save_track (mm/kasan/common.c:58 mm/kasan/common.c:78) kasan_save_free_info (mm/kasan/generic.c:587) __kasan_slab_free (mm/kasan/common.c:287) kmem_cache_free (mm/slub.c:6165) __sk_destruct (net/core/sock.c:2282 net/core/sock.c:2384) sk_psock_destroy (./include/net/sock.h:?) process_scheduled_works (kernel/workqueue.c:?) worker_thread (kernel/workqueue.c:?) kthread (kernel/kthread.c:438) ret_from_fork (arch/x86/kernel/process.c:164) ret_from_fork_asm (arch/x86/entry/entry_64.S:258)</t>
  </si>
  <si>
    <t>CVE-2026-53009</t>
  </si>
  <si>
    <t>In the Linux kernel, the following vulnerability has been resolved:ice: fix double-free of tx_buf skbIf ice_tso() or ice_tx_csum() fail, the error path inice_xmit_frame_ring() frees the skb, but the 'first' tx_buf still pointsto it and is marked as valid (ICE_TX_BUF_SKB).'next_to_use' remains unchanged, so the potential problem willlikely fix itself when the next packet is transmitted and the tx_bufgets overwritten. But if there is no next packet and the interface isbrought down instead, ice_clean_tx_ring() -&gt; ice_unmap_and_free_tx_buf()will find the tx_buf and free the skb for the second time.The fix is to reset the tx_buf type to ICE_TX_BUF_EMPTY in the errorpath, so that ice_unmap_and_free_tx_buf().Move the initialization of 'first' up, to ensure it's already valid incase we hit the linearization error path.The bug was spotted by AI while I had it looking for something else.It also proposed an initial version of the patch.I reproduced the bug and tested the fix by adding code to injectfailures, on a build with KASAN.I looked for similar bugs in related Intel drivers and did not find any.</t>
  </si>
  <si>
    <t>CVE-2026-53011</t>
  </si>
  <si>
    <t>In the Linux kernel, the following vulnerability has been resolved:net/sched: taprio: fix use-after-free in advance_sched() on schedule switchIn advance_sched(), when should_change_schedules() returns true,switch_schedules() is called to promote the admin schedule to oper.switch_schedules() queues the old oper schedule for RCU freeing viacall_rcu(), but 'next' still points into an entry of the old operschedule. The subsequent 'next-&gt;end_time = end_time' andrcu_assign_pointer(q-&gt;current_entry, next) are use-after-free.Fix this by selecting 'next' from the new oper schedule immediatelyafter switch_schedules(), and using its pre-calculated end_time.setup_first_end_time() sets the first entry's end_time tobase_time + interval when the schedule is installed, so the valueis already correct.The deleted 'end_time = sched_base_time(admin)' assignment was alsoharmful independently: it would overwrite the new first entry'spre-calculated end_time with just base_time.</t>
  </si>
  <si>
    <t>CVE-2026-53016</t>
  </si>
  <si>
    <t>In the Linux kernel, the following vulnerability has been resolved:crypto: ccp - copy IV using skcipher ivsizeAF_ALG rfc3686-ctr-aes-ccp requests pass an 8-byte IV to the driver.ccp_aes_complete() restores AES_BLOCK_SIZE bytes into the caller's IVbuffer while RFC3686 skciphers expose an 8-byte IV, so the restoreoverruns the provided buffer.Use crypto_skcipher_ivsize() to copy only the algorithm's IV length.</t>
  </si>
  <si>
    <t>CVE-2026-53020</t>
  </si>
  <si>
    <t>In the Linux kernel, the following vulnerability has been resolved:um: Fix potential race condition in TLB syncDuring the TLB sync, we need to traverse and modify the page table,so we should hold the page table lock. Since full SMP support forthreads within the same process is still missing, let's disable thesplit page table lock for simplicity.</t>
  </si>
  <si>
    <t>CVE-2026-53024</t>
  </si>
  <si>
    <t>In the Linux kernel, the following vulnerability has been resolved:greybus: raw: fix use-after-free if write is called after disconnectIf a user writes to the chardev after disconnect has been called, thekernel panics with the following trace (withCONFIG_INIT_ON_FREE_DEFAULT_ON=y):        BUG: kernel NULL pointer dereference, address: 0000000000000218         ...        Call Trace:         &lt;TASK&gt;         gb_operation_create_common+0x61/0x180         gb_operation_create_flags+0x28/0xa0         gb_operation_sync_timeout+0x6f/0x100         raw_write+0x7b/0xc7 [gb_raw]         vfs_write+0xcf/0x420         ? task_mm_cid_work+0x136/0x220         ksys_write+0x63/0xe0         do_syscall_64+0xa4/0x290         entry_SYSCALL_64_after_hwframe+0x77/0x7fDisconnect calls gb_connection_destroy, which ends up freeing theconnection object. When gb_operation_sync is called in the write fileoperations, its gets a freed connection as parameter and the kernelpanics.The gb_connection_destroy cannot be moved out of the disconnectfunction, as the Greybus subsystem expect all connections belonging to abundle to be destroyed when disconnect returns.To prevent this bug, use a rw lock to synchronize access between writeand disconnect. This guarantees that the write function doesn't tryto use a disconnected connection.</t>
  </si>
  <si>
    <t>CVE-2026-53025</t>
  </si>
  <si>
    <t>In the Linux kernel, the following vulnerability has been resolved:greybus: raw: fix use-after-free on cdev closeThis addresses a use-after-free bug when a raw bundle is disconnectedbut its chardev is still opened by an application. When the applicationreleases the cdev, it causes the following panic when init on free isenabled (CONFIG_INIT_ON_FREE_DEFAULT_ON=y):        refcount_t: underflow; use-after-free.        WARNING: CPU: 0 PID: 139 at lib/refcount.c:28refcount_warn_saturate+0xd0/0x130         ...        Call Trace:         &lt;TASK&gt;         cdev_put+0x18/0x30         __fput+0x255/0x2a0         __x64_sys_close+0x3d/0x80         do_syscall_64+0xa4/0x290         entry_SYSCALL_64_after_hwframe+0x77/0x7fThe cdev is contained in the "gb_raw" structure, which is freed in thedisconnect operation. When the cdev is released at a later time,cdev_put gets an address that points to freed memory.To fix this use-after-free, convert the struct device from a pointer tobeing embedded, that makes the lifetime of the cdev and of this devicethe same. Then, use cdev_device_add, which guarantees that the devicewon't be released until all references to the cdev have been released.Finally, delegate the freeing of the structure to the device releasefunction, instead of freeing immediately in the disconnect callback.</t>
  </si>
  <si>
    <t>CVE-2026-53026</t>
  </si>
  <si>
    <t>In the Linux kernel, the following vulnerability has been resolved:NFSD: fix nfs4_file access extra count in nfsd4_add_rdaccess_to_wrdelegIn nfsd4_add_rdaccess_to_wrdeleg, if fp-&gt;fi_fds[O_RDONLY] is alreadyset by another thread, __nfs4_file_get_access should not be calledto increment the nfs4_file access count since that was already doneby the thread that added READ access to the file. The extra fi_accesscount in nfs4_file can prevent the corresponding nfsd_file from beingfreed.When stopping nfs-server service, these extra access counts trigger aBUG in kmem_cache_destroy() that shows nfsd_file object remaining on__kmem_cache_shutdown.This problem can be reproduced by running the Git project's testsuite over NFS.</t>
  </si>
  <si>
    <t>CVE-2026-53044</t>
  </si>
  <si>
    <t>In the Linux kernel, the following vulnerability has been resolved:soc/tegra: cbb: Fix incorrect ARRAY_SIZE in fabric lookup tablesFix incorrect ARRAY_SIZE usage in fabric lookup tables which couldcause out-of-bounds access during target timeout lookup.</t>
  </si>
  <si>
    <t>CVE-2026-53053</t>
  </si>
  <si>
    <t>In the Linux kernel, the following vulnerability has been resolved:iommu/amd: Fix clone_alias() to use the original device's devidCurrently clone_alias() assumes first argument (pdev) is always theoriginal device pointer. This function is called bypci_for_each_dma_alias() which based on topology decides to sendoriginal or alias device details in first argument.This meant that the source devid used to look up and copy the DTEmay be incorrect, leading to wrong or stale DTE entries beingpropagated to alias device.Fix this by passing the original pdev as the opaque data argument toboth the direct clone_alias() call and pci_for_each_dma_alias(). Insideclone_alias(), retrieve the original device from data and compute devidfrom it.</t>
  </si>
  <si>
    <t>CVE-2026-53057</t>
  </si>
  <si>
    <t>In the Linux kernel, the following vulnerability has been resolved:iommu/riscv: Add IOTINVAL after updating DDT/PDT entriesAdd riscv_iommu_iodir_iotinval() to perform required TLB and context cacheinvalidations after updating DDT or PDT entries, as mandated by the RISC-VIOMMU specification (Section 6.3.1 and 6.3.2).</t>
  </si>
  <si>
    <t>CVE-2026-53062</t>
  </si>
  <si>
    <t>In the Linux kernel, the following vulnerability has been resolved:dm cache policy smq: fix missing locks in invalidating cache blocksIn passthrough mode, the policy invalidate_mapping operation is calledsimultaneously from multiple workers, thus it should be protected by alock. Otherwise, we might end up with data races on the allocated blockscounter, or even use-after-free issues with internal data structureswhen doing concurrent writes.Note that the existing FIXME in smq_invalidate_mapping() doesn't affectpassthrough mode since migration tasks don't exist there, but would needattention if supporting fast device shrinking via suspend/resume withouttarget reloading.Reproduce steps:1. Create a cache device consisting of 1024 cache entriesdmsetup create cmeta --table "0 8192 linear /dev/sdc 0"dmsetup create cdata --table "0 131072 linear /dev/sdc 8192"dmsetup create corig --table "0 262144 linear /dev/sdc 262144"dd if=/dev/zero of=/dev/mapper/cmeta bs=4k count=1 oflag=directdmsetup create cache --table "0 262144 cache /dev/mapper/cmeta \/dev/mapper/cdata /dev/mapper/corig 128 2 metadata2 writethrough smq 0"2. Populate the cache, and record the number of cached blocksfio --name=populate --filename=/dev/mapper/cache --rw=randwrite --bs=4k \--size=64m --direct=1nr_cached=$(dmsetup status cache | awk '{split($7, a, "/"); print a[1]}')3. Reload the cache into passthrough modedmsetup suspend cachedmsetup reload cache --table "0 262144 cache /dev/mapper/cmeta \/dev/mapper/cdata /dev/mapper/corig 128 2 metadata2 passthrough smq 0"dmsetup resume cache4. Write to the passthrough cache. By setting multiple jobs with I/O   size equal to the cache block size, cache blocks are invalidated   concurrently from different workers.fio --filename=/dev/mapper/cache --name=test --rw=randwrite --bs=64k \--direct=1 --numjobs=2 --randrepeat=0 --size=64m5. Check if demoted matches cached block count. These numbers should   match but may differ due to the data race.nr_demoted=$(dmsetup status cache | awk '{print $12}')echo "$nr_cached, $nr_demoted"</t>
  </si>
  <si>
    <t>CVE-2026-53078</t>
  </si>
  <si>
    <t>In the Linux kernel, the following vulnerability has been resolved:bpf: Fix same-register dst/src OOB read and pointer leak in sock_opsWhen a BPF sock_ops program accesses ctx fields with dst_reg == src_reg,the SOCK_OPS_GET_SK() and SOCK_OPS_GET_FIELD() macros fail to zero thedestination register in the !fullsock / !locked_tcp_sock path.Both macros borrow a temporary register to check is_fullsock /is_locked_tcp_sock when dst_reg == src_reg, because dst_reg holds thectx pointer. When the check is false (e.g., TCP_NEW_SYN_RECV state witha request_sock), dst_reg should be zeroed but is not, leaving the stalectx pointer: - SOCK_OPS_GET_SK: dst_reg retains the ctx pointer, passes NULL checks   as PTR_TO_SOCKET_OR_NULL, and can be used as a bogus socket pointer,   leading to stack-out-of-bounds access in helpers like   bpf_skc_to_tcp6_sock(). - SOCK_OPS_GET_FIELD: dst_reg retains the ctx pointer which the   verifier believes is a SCALAR_VALUE, leaking a kernel pointer.Fix both macros by: - Changing JMP_A(1) to JMP_A(2) in the fullsock path to skip the   added instruction. - Adding BPF_MOV64_IMM(si-&gt;dst_reg, 0) after the temp register   restore in the !fullsock path, placed after the restore because   dst_reg == src_reg means we need src_reg intact to read ctx-&gt;temp.</t>
  </si>
  <si>
    <t>CVE-2026-53087</t>
  </si>
  <si>
    <t>In the Linux kernel, the following vulnerability has been resolved:net: bcmgenet: fix leaking free_bdsWhile reclaiming the tx queue we fast forward the write pointer todrop any data in flight. These dropped frames are not added backto the pool of free bds. We also need to tell the netdev that weare dropping said data.</t>
  </si>
  <si>
    <t>CVE-2026-53092</t>
  </si>
  <si>
    <t>In the Linux kernel, the following vulnerability has been resolved:bpf: Fix linked reg delta tracking when src_reg == dst_regConsider the case of rX += rX where src_reg and dst_reg are pointers tothe same bpf_reg_state in adjust_reg_min_max_vals(). The latter firstmodifies the dst_reg in-place, and later in the delta tracking, thesubsequent is_reg_const(src_reg)/reg_const_value(src_reg) reads thepost-{add,sub} value instead of the original source.This is problematic since it sets an incorrect delta, whichsync_linked_regs()then propagates to linked registers, thus creating a verifier-vs-runtimemismatch. Fix it by just skipping this corner case.</t>
  </si>
  <si>
    <t>CVE-2026-53094</t>
  </si>
  <si>
    <t>In the Linux kernel, the following vulnerability has been resolved:bpf: Fix stale offload-&gt;prog pointer after constant blindingWhen a dev-bound-only BPF program (BPF_F_XDP_DEV_BOUND_ONLY) undergoesJIT compilation with constant blinding enabled (bpf_jit_harden &gt;= 2),bpf_jit_blind_constants() clones the program. The original prog is thenfreed in bpf_jit_prog_release_other(), which updates aux-&gt;prog to pointto the surviving clone, but fails to update offload-&gt;prog.This leaves offload-&gt;prog pointing to the freed original program. Whenthe network namespace is subsequently destroyed, cleanup_net() triggersbpf_dev_bound_netdev_unregister(), which iterates ondev-&gt;progs and calls__bpf_prog_offload_destroy(offload-&gt;prog). Accessing the freed progcauses a page fault:BUG: unable to handle page fault for address: ffffc900085f1038Workqueue: netns cleanup_netRIP: 0010:__bpf_prog_offload_destroy+0xc/0x80Call Trace:__bpf_offload_dev_netdev_unregister+0x257/0x350bpf_dev_bound_netdev_unregister+0x4a/0x90unregister_netdevice_many_notify+0x2a2/0x660...cleanup_net+0x21a/0x320The test sequence that triggers this reliably is:1. Set net.core.bpf_jit_harden=2 (echo 2 &gt;/proc/sys/net/core/bpf_jit_harden)2. Run xdp_metadata selftest, which creates a dev-bound-only XDP   program on a veth inside a netns (./test_progs -t xdp_metadata)3. cleanup_net -&gt; page fault in __bpf_prog_offload_destroyDev-bound-only programs are unique in that they have an offload structurebut go through the normal JIT path instead of bpf_prog_offload_compile().This means they are subject to constant blinding's prog clone-and-replace,while also having offload-&gt;prog that must stay in sync.Fix this by updating offload-&gt;prog in bpf_jit_prog_release_other(),alongside the existing aux-&gt;prog update. Both are back-pointers tothe prog that must be kept in sync when the prog is replaced.</t>
  </si>
  <si>
    <t>CVE-2026-53096</t>
  </si>
  <si>
    <t>In the Linux kernel, the following vulnerability has been resolved:bpf: Use RCU-safe iteration in dev_map_redirect_multi() SKB pathThe DEVMAP_HASH branch in dev_map_redirect_multi() useshlist_for_each_entry_safe() to iterate hash buckets, but this functionruns under RCU protection (called from xdp_do_generic_redirect_map()in softirq context). Concurrent writers (__dev_map_hash_update_elem,dev_map_hash_delete_elem) modify the list using RCU primitives(hlist_add_head_rcu, hlist_del_rcu).hlist_for_each_entry_safe() performs plain pointer dereferences withoutrcu_dereference(), missing the acquire barrier needed to pair withwriters' rcu_assign_pointer(). On weakly-ordered architectures (ARM64,POWER), a reader can observe a partially-constructed node. It alsodefeats CONFIG_PROVE_RCU lockdep validation and KCSAN data-racedetection.Replace with hlist_for_each_entry_rcu() using rcu_read_lock_bh_held()as the lockdep condition, consistent with the rcu_dereference_check()used in the DEVMAP (non-hash) branch of the same functions. Also fixthe same incorrect lockdep_is_held(&amp;dtab-&gt;index_lock) condition indev_map_enqueue_multi(), where the lock is not held either.</t>
  </si>
  <si>
    <t>CVE-2026-53110</t>
  </si>
  <si>
    <t>In the Linux kernel, the following vulnerability has been resolved:s390/bpf: Zero-extend bpf prog return values and kfunc argumentss390x ABI requires callers to zero-extend unsigned arguments andsign-extend signed arguments, and callees to zero-extend unsignedreturn values and sign-extend signed return values.s390 BPF JIT currently implements only sign extension. Fix thisomission and implement zero extension too.</t>
  </si>
  <si>
    <t>CVE-2026-53129</t>
  </si>
  <si>
    <t>In the Linux kernel, the following vulnerability has been resolved:fs/mbcache: cancel shrink work before destroying the cachemb_cache_destroy() calls shrinker_free() and then frees all cacheentries and the cache itself, but it does not cancel the pendingc_shrink_work work item first.If mb_cache_entry_create() schedules c_shrink_work via schedule_work()and the work item is still pending or running when mb_cache_destroy()runs, mb_cache_shrink_worker() will access the cache after its memoryhas been freed, causing a use-after-free.This is only reachable by a privileged user (root or CAP_SYS_ADMIN)who can trigger the last put of a mounted ext2/ext4/ocfs2 filesystem.Cancel the work item with cancel_work_sync() before callingshrinker_free(), ensuring the worker has finished and will not berescheduled before the cache is torn down.</t>
  </si>
  <si>
    <t>CVE-2026-53160</t>
  </si>
  <si>
    <t>In the Linux kernel, the following vulnerability has been resolved:misc: fastrpc: fix use-after-free race in fastrpc_map_createfastrpc_map_lookup returns a raw pointer after releasing fl-&gt;lock. Thecaller fastrpc_map_create then calls fastrpc_map_get (kref_get_unless_zero)on this unprotected pointer. A concurrent MEM_UNMAP can free the mapbetween the lock release and the kref operation, resulting in ause-after-free on the freed slab object.Restore the take_ref parameter to fastrpc_map_lookup so the referenceis acquired atomically under fl-&gt;lock before the pointer is exposed tothe caller.</t>
  </si>
  <si>
    <t>CVE-2026-53161</t>
  </si>
  <si>
    <t>In the Linux kernel, the following vulnerability has been resolved:misc: fastrpc: fix use-after-free of fastrpc_user in workqueue contextThere is a race between fastrpc_device_release() and the workqueuethat processes DSP responses. When the user closes the file descriptor,fastrpc_device_release() frees the fastrpc_user structure. Concurrently,an in-flight DSP invocation can complete and fastrpc_rpmsg_callback()schedules context cleanup via schedule_work(&amp;ctx-&gt;put_work). If theworkqueue runs fastrpc_context_free() in parallel with or afterfastrpc_device_release() has freed the user structure, it dereferencesthe freed fastrpc_user. Depending on the state of the context at thetime of the race, any one of the following accesses can be hit: 1. fastrpc_buf_free() calls fastrpc_ipa_to_dma_addr(buf-&gt;fl-&gt;cctx, ...)    to strip the SID bits from the stored IOVA before passing the    physical address to dma_free_coherent(). 2. fastrpc_free_map() reads map-&gt;fl-&gt;cctx-&gt;vmperms[0].vmid to    reconstruct the source permission bitmask needed for the    qcom_scm_assign_mem() call that returns memory from the DSP VM    back to HLOS. 3. fastrpc_free_map() acquires map-&gt;fl-&gt;lock to safely remove the    map node from the fl-&gt;maps list.The resulting use-after-free manifests as:  pc : fastrpc_buf_free+0x38/0x80 [fastrpc]  lr : fastrpc_context_free+0xa8/0x1b0 [fastrpc]  fastrpc_context_free+0xa8/0x1b0 [fastrpc]  fastrpc_context_put_wq+0x78/0xa0 [fastrpc]  process_one_work+0x180/0x450  worker_thread+0x26c/0x388Add kref-based reference counting to fastrpc_user. Have each invokecontext take a reference on the user at allocation time and release itwhen the context is freed. Release the initial reference infastrpc_device_release() at file close. Move the teardown of the userstructure — freeing pending contexts, maps, mmaps, and the channelcontext reference — into the kref release callback fastrpc_user_free(),so that it runs only when the last reference is dropped, regardless ofwhether that happens at device close or after the final in-flightcontext completes.</t>
  </si>
  <si>
    <t>CVE-2026-53162</t>
  </si>
  <si>
    <t>In the Linux kernel, the following vulnerability has been resolved:memcg: use round-robin victim selection in refill_stockHarry Yoo reported that get_random_u32_below() is not safe to call in thenmi context and memcg charge draining can happen in nmi context.More specifically get_random_u32_below() is neither reentrant- norNMI-safe: it acquires a per-cpu local_lock via local_lock_irqsave() on thebatched_entropy_u32 state.  An NMI that lands on a CPU mid-update of theChaCha batch state and recurses into the random subsystem would corruptthat state.  The memcg_stock local_trylock prevents re-entry on the percpustock itself, but cannot protect an unrelated subsystem's per-cpu lock.Replace the random pick with a per-cpu round-robin counter stored inmemcg_stock_pcp and serialized by the same local_trylock that alreadyguards cached[] and nr_pages[].  No atomics, no random calls, no extralocks needed.</t>
  </si>
  <si>
    <t>CVE-2026-5435</t>
  </si>
  <si>
    <t>The deprecated functions ns_printrrf, ns_printrr and fp_nquery in the GNU CLibrary version 2.2 and newer fail to enforce the caller-supplied bufferlength, and can result in an out-of-bounds write when printing TSIGrecords.</t>
  </si>
  <si>
    <t>CVE-2026-20806</t>
  </si>
  <si>
    <t>Access of resource using incompatible type ('type confusion') in Windows COM allows an authorized attacker to disclose information locally.</t>
  </si>
  <si>
    <t>CVE-2026-20928</t>
  </si>
  <si>
    <t>Improper removal of sensitive information before storage or transfer in Windows Recovery Environment Agent allows an unauthorized attacker to bypass a security feature with a physical attack.</t>
  </si>
  <si>
    <t>CVE-2026-21530</t>
  </si>
  <si>
    <t>Double free in Windows Rich Text Edit allows an authorized attacker to elevate privileges locally.</t>
  </si>
  <si>
    <t>CVE-2026-23670</t>
  </si>
  <si>
    <t>Untrusted pointer dereference in Windows Virtualization-Based Security (VBS) Enclave allows an authorized attacker to bypass a security feature locally.</t>
  </si>
  <si>
    <t>CVE-2026-26155</t>
  </si>
  <si>
    <t>Microsoft Local Security Authority Subsystem Service Information Disclosure Vulnerability</t>
  </si>
  <si>
    <t>CVE-2026-26169</t>
  </si>
  <si>
    <t>Buffer over-read in Windows Kernel Memory allows an authorized attacker to disclose information locally.</t>
  </si>
  <si>
    <t>CVE-2026-26175</t>
  </si>
  <si>
    <t>Use of uninitialized resource in Windows Boot Manager allows an unauthorized attacker to bypass a security feature with a physical attack.</t>
  </si>
  <si>
    <t>CVE-2026-27906</t>
  </si>
  <si>
    <t>Improper input validation in Windows Hello allows an authorized attacker to bypass a security feature locally.</t>
  </si>
  <si>
    <t>CVE-2026-27925</t>
  </si>
  <si>
    <t>Use after free in Windows Universal Plug and Play (UPnP) Device Host allows an unauthorized attacker to disclose information over an adjacent network.</t>
  </si>
  <si>
    <t>CVE-2026-27930</t>
  </si>
  <si>
    <t>Out-of-bounds read in Windows GDI allows an unauthorized attacker to disclose information locally.</t>
  </si>
  <si>
    <t>CVE-2026-27931</t>
  </si>
  <si>
    <t>CVE-2026-32072</t>
  </si>
  <si>
    <t>Improper authentication in Windows Active Directory allows an unauthorized attacker to perform spoofing locally.</t>
  </si>
  <si>
    <t>CVE-2026-32079</t>
  </si>
  <si>
    <t>Exposure of sensitive information to an unauthorized actor in Windows File Explorer allows an authorized attacker to disclose information locally.</t>
  </si>
  <si>
    <t>CVE-2026-32081</t>
  </si>
  <si>
    <t>CVE-2026-32084</t>
  </si>
  <si>
    <t>CVE-2026-32085</t>
  </si>
  <si>
    <t>Exposure of sensitive information to an unauthorized actor in Windows Remote Procedure Call allows an authorized attacker to disclose information locally.</t>
  </si>
  <si>
    <t>CVE-2026-32088</t>
  </si>
  <si>
    <t>Concurrent execution using shared resource with improper synchronization ('race condition') in Windows Biometric Service allows an unauthorized attacker to bypass a security feature with a physical attack.</t>
  </si>
  <si>
    <t>CVE-2026-32151</t>
  </si>
  <si>
    <t>Exposure of sensitive information to an unauthorized actor in Windows Shell allows an authorized attacker to disclose information over a network.</t>
  </si>
  <si>
    <t>CVE-2026-32170</t>
  </si>
  <si>
    <t>CVE-2026-32181</t>
  </si>
  <si>
    <t>Improper privilege management in Microsoft Windows allows an authorized attacker to deny service locally.</t>
  </si>
  <si>
    <t>CVE-2026-32209</t>
  </si>
  <si>
    <t>Improper access control in Windows Filtering Platform (WFP) allows an authorized attacker to bypass a security feature locally.</t>
  </si>
  <si>
    <t>CVE-2026-32212</t>
  </si>
  <si>
    <t>Improper link resolution before file access ('link following') in Universal Plug and Play (upnp.dll) allows an authorized attacker to disclose information locally.</t>
  </si>
  <si>
    <t>CVE-2026-32214</t>
  </si>
  <si>
    <t>Improper access control in Universal Plug and Play (upnp.dll) allows an authorized attacker to disclose information locally.</t>
  </si>
  <si>
    <t>CVE-2026-32215</t>
  </si>
  <si>
    <t>Insertion of sensitive information into log file in Windows Kernel allows an authorized attacker to disclose information locally.</t>
  </si>
  <si>
    <t>CVE-2026-32217</t>
  </si>
  <si>
    <t>CVE-2026-32218</t>
  </si>
  <si>
    <t>CVE-2026-32220</t>
  </si>
  <si>
    <t>Improper access control in Windows Virtualization-Based Security (VBS) Enclave allows an authorized attacker to bypass a security feature locally.</t>
  </si>
  <si>
    <t>CVE-2026-32223</t>
  </si>
  <si>
    <t>Heap-based buffer overflow in Windows USB Print Driver allows an unauthorized attacker to elevate privileges with a physical attack.</t>
  </si>
  <si>
    <t>CVE-2026-33829</t>
  </si>
  <si>
    <t>Exposure of sensitive information to an unauthorized actor in Windows Snipping Tool allows an unauthorized attacker to perform spoofing over a network.</t>
  </si>
  <si>
    <t>CVE-2026-34339</t>
  </si>
  <si>
    <t>Null pointer dereference in Windows LDAP - Lightweight Directory Access Protocol allows an authorized attacker to deny service locally.</t>
  </si>
  <si>
    <t>CVE-2026-35419</t>
  </si>
  <si>
    <t>Out-of-bounds read in Windows DWM Core Library allows an authorized attacker to disclose information locally.</t>
  </si>
  <si>
    <t>CVE-2026-35422</t>
  </si>
  <si>
    <t>Authentication bypass using an alternate path or channel in Windows TCP/IP allows an authorized attacker to bypass a security feature over a network.</t>
  </si>
  <si>
    <t>CVE-2026-35423</t>
  </si>
  <si>
    <t>Out-of-bounds read in Telnet Client allows an unauthorized attacker to disclose information over a network.</t>
  </si>
  <si>
    <t>CVE-2026-40380</t>
  </si>
  <si>
    <t>Heap-based buffer overflow in Volume Manager Extension Driver allows an authorized attacker to execute code with a physical attack.</t>
  </si>
  <si>
    <t>CVE-2026-41097</t>
  </si>
  <si>
    <t>Reliance on a component that is not updateable in Windows Secure Boot allows an authorized attacker to bypass a security feature locally.</t>
  </si>
  <si>
    <t>CVE-2026-42903</t>
  </si>
  <si>
    <t>Null pointer dereference in Windows Kerberos allows an authorized attacker to deny service over a network.</t>
  </si>
  <si>
    <t>CVE-2026-42906</t>
  </si>
  <si>
    <t>Exposure of sensitive information to an unauthorized actor in Windows Shell allows an authorized attacker to disclose information locally.</t>
  </si>
  <si>
    <t>CVE-2026-42907</t>
  </si>
  <si>
    <t>CVE-2026-42914</t>
  </si>
  <si>
    <t>Out-of-bounds read in Windows Kerberos allows an authorized attacker to deny service over a network.</t>
  </si>
  <si>
    <t>CVE-2026-42915</t>
  </si>
  <si>
    <t>Incorrect calculation of buffer size in Windows VMSwitch allows an authorized attacker to deny service locally.</t>
  </si>
  <si>
    <t>CVE-2026-42968</t>
  </si>
  <si>
    <t>Out-of-bounds read in Windows Telephony Service allows an authorized attacker to disclose information locally.</t>
  </si>
  <si>
    <t>CVE-2026-42969</t>
  </si>
  <si>
    <t>Use of uninitialized resource in Windows Push Notifications allows an authorized attacker to disclose information locally.</t>
  </si>
  <si>
    <t>CVE-2026-42970</t>
  </si>
  <si>
    <t>Exposure of sensitive information to an unauthorized actor in Windows Push Notifications allows an authorized attacker to disclose information locally.</t>
  </si>
  <si>
    <t>CVE-2026-42971</t>
  </si>
  <si>
    <t>CVE-2026-42972</t>
  </si>
  <si>
    <t>Exposure of sensitive information to an unauthorized actor in Windows Hyper-V allows an authorized attacker to disclose information locally.</t>
  </si>
  <si>
    <t>CVE-2026-42973</t>
  </si>
  <si>
    <t>CVE-2026-45585</t>
  </si>
  <si>
    <t>Microsoft is aware of a security feature bypass vulnerability in Windows publicly referred to as &amp;quot;YellowKey&amp;quot;. The proof of concept for this vulnerability has been made public violating coordinated vulnerability best practices.
We are issuing this CVE to provide mitigation guidance that can be implemented to protect against this vulnerability until the security update is made available.
Mitigation FAQs
Should I leverage the temporary mitigation?
Microsoft recommends that you consider implementing these mitigations if you are concerned your devices and data are at risk of being compromised or stolen. For example, if your organization’s employees take their work devices home or on business travel.
What impact to service availability/management could be caused by implementing the mitigations?
Implementing these mitigations will not impact service availability or management operations.
Do customers need to revert the changes made to mitigate the vulnerability once the security update to protect against this vulnerability is available?
No. The security update will maintain the mitigation's behavior once the security update is installed.
I am using TPM+PIN, am I at risk of this vulnerability being exploited
No, if you are using TPM+PIN the vulnerability is not exploitable.</t>
  </si>
  <si>
    <t>CVE-2026-45594</t>
  </si>
  <si>
    <t>Exposure of sensitive information to an unauthorized actor in Windows Application Identity (AppID) Subsystem allows an authorized attacker to disclose information locally.</t>
  </si>
  <si>
    <t>CVE-2026-45595</t>
  </si>
  <si>
    <t>Protection mechanism failure in Windows Mark of the Web (MOTW) allows an unauthorized attacker to bypass a security feature over a network.</t>
  </si>
  <si>
    <t>CVE-2026-45604</t>
  </si>
  <si>
    <t>Out-of-bounds read in Windows Application Identity (AppID) Subsystem allows an authorized attacker to disclose information locally.</t>
  </si>
  <si>
    <t>CVE-2026-45606</t>
  </si>
  <si>
    <t>Out-of-bounds read in Microsoft UxTheme Library (uxtheme.dll) allows an authorized attacker to deny service locally.</t>
  </si>
  <si>
    <t>CVE-2026-45608</t>
  </si>
  <si>
    <t>Out-of-bounds read in Windows DHCP Client allows an unauthorized attacker to disclose information locally.</t>
  </si>
  <si>
    <t>CVE-2026-45634</t>
  </si>
  <si>
    <t>Out-of-bounds read in Windows DHCP Server allows an authorized attacker to disclose information locally.</t>
  </si>
  <si>
    <t>CVE-2026-45655</t>
  </si>
  <si>
    <t>Protection mechanism failure in Windows BitLocker allows an unauthorized attacker to bypass a security feature with a physical attack.</t>
  </si>
  <si>
    <t>CVE-2026-48566</t>
  </si>
  <si>
    <t>CVE-2026-50507</t>
  </si>
  <si>
    <t>Missing authentication for critical function in Windows BitLocker allows an unauthorized attacker to bypass a security feature with a physical attack.</t>
  </si>
  <si>
    <t>CVE-2015-7837</t>
  </si>
  <si>
    <t>The Linux kernel, as used in Red Hat Enterprise Linux 7, kernel-rt, andEnterprise MRG 2 and when booted with UEFI Secure Boot enabled, allowslocal users to bypass intended securelevel/secureboot restrictions byleveraging improper handling of secure_boot flag across kexec reboot.</t>
  </si>
  <si>
    <t>CVE-2015-8553</t>
  </si>
  <si>
    <t>Xen allows guest OS users to obtain sensitive information fromuninitialized locations in host OS kernel memory by not enabling memory andI/O decoding control bits.  NOTE: this vulnerability exists because of anincomplete fix for CVE-2015-0777.</t>
  </si>
  <si>
    <t>CVE-2016-8660</t>
  </si>
  <si>
    <t>The XFS subsystem in the Linux kernel through 4.8.2 allows local users tocause a denial of service (fdatasync failure and system hang) by using thevfs syscall group in the trinity program, related to a "page lock order bugin the XFS seek hole/data implementation."</t>
  </si>
  <si>
    <t>CVE-2017-0537</t>
  </si>
  <si>
    <t>An information disclosure vulnerability in the kernel USB gadget drivercould enable a local malicious application to access data outside of itspermission levels. This issue is rated as Moderate because it firstrequires compromising a privileged process. Product: Android. Versions:Kernel-3.18. Android ID: A-31614969.</t>
  </si>
  <si>
    <t>CVE-2017-13693</t>
  </si>
  <si>
    <t>The acpi_ds_create_operands() function in drivers/acpi/acpica/dsutils.c inthe Linux kernel through 4.12.9 does not flush the operand cache and causesa kernel stack dump, which allows local users to obtain sensitiveinformation from kernel memory and bypass the KASLR protection mechanism(in the kernel through 4.9) via a crafted ACPI table.</t>
  </si>
  <si>
    <t>CVE-2017-13694</t>
  </si>
  <si>
    <t>The acpi_ps_complete_final_op() function in drivers/acpi/acpica/psobject.cin the Linux kernel through 4.12.9 does not flush the node and node_extcaches and causes a kernel stack dump, which allows local users to obtainsensitive information from kernel memory and bypass the KASLR protectionmechanism (in the kernel through 4.9) via a crafted ACPI table.</t>
  </si>
  <si>
    <t>CVE-2017-13716</t>
  </si>
  <si>
    <t>libctf0</t>
  </si>
  <si>
    <t>The C++ symbol demangler routine in cplus-dem.c in libiberty, asdistributed in GNU Binutils 2.29, allows remote attackers to cause a denialof service (excessive memory allocation and application crash) via acrafted file, as demonstrated by a call from the Binary File Descriptor(BFD) library (aka libbfd).</t>
  </si>
  <si>
    <t>libgprofng0</t>
  </si>
  <si>
    <t>binutils-x86-64-linux-gnu</t>
  </si>
  <si>
    <t>libctf-nobfd0</t>
  </si>
  <si>
    <t>libbinutils</t>
  </si>
  <si>
    <t>libsframe3</t>
  </si>
  <si>
    <t>binutils</t>
  </si>
  <si>
    <t>binutils-common</t>
  </si>
  <si>
    <t>CVE-2018-12928</t>
  </si>
  <si>
    <t>In the Linux kernel 4.15.0, a NULL pointer dereference was discovered inhfs_ext_read_extent in hfs.ko. This can occur during a mount of a craftedhfs filesystem.</t>
  </si>
  <si>
    <t>CVE-2018-12929</t>
  </si>
  <si>
    <t>ntfs_read_locked_inode in the ntfs.ko filesystem driver in the Linux kernel4.15.0 allows attackers to trigger a use-after-free read and possibly causea denial of service (kernel oops or panic) via a crafted ntfs filesystem.</t>
  </si>
  <si>
    <t>CVE-2018-17977</t>
  </si>
  <si>
    <t>The Linux kernel 4.14.67 mishandles certain interaction among XFRM Netlinkmessages, IPPROTO_AH packets, and IPPROTO_IP packets, which allows localusers to cause a denial of service (memory consumption and system hang) byleveraging root access to execute crafted applications, as demonstrated onCentOS 7.</t>
  </si>
  <si>
    <t>CVE-2019-15213</t>
  </si>
  <si>
    <t>An issue was discovered in the Linux kernel before 5.2.3. There is ause-after-free caused by a malicious USB device in thedrivers/media/usb/dvb-usb/dvb-usb-init.c driver.</t>
  </si>
  <si>
    <t>CVE-2019-20794</t>
  </si>
  <si>
    <t>An issue was discovered in the Linux kernel 4.18 through 5.6.11 whenunprivileged user namespaces are allowed. A user can create their own PIDnamespace, and mount a FUSE filesystem. Upon interaction with this FUSEfilesystem, if the userspace component is terminated via a kill of the PIDnamespace's pid 1, it will result in a hung task, and resources beingpermanently locked up until system reboot. This can result in resourceexhaustion.</t>
  </si>
  <si>
    <t>CVE-2020-11935</t>
  </si>
  <si>
    <t>It was discovered that aufs improperly managed inode reference counts inthe vfsub_dentry_open() method. A local attacker could use thisvulnerability to cause a denial of service attack.</t>
  </si>
  <si>
    <t>CVE-2020-14304</t>
  </si>
  <si>
    <t>A memory disclosure flaw was found in the Linux kernel's ethernet drivers,in the way it read data from the EEPROM of the device. This flaw allows alocal user to read uninitialized values from the kernel memory. The highestthreat from this vulnerability is to confidentiality.</t>
  </si>
  <si>
    <t>CVE-2020-26140</t>
  </si>
  <si>
    <t>An issue was discovered in the ALFA Windows 10 driver 6.1316.1209 forAWUS036H. The WEP, WPA, WPA2, and WPA3 implementations accept plaintextframes in a protected Wi-Fi network. An adversary can abuse this to injectarbitrary data frames independent of the network configuration.</t>
  </si>
  <si>
    <t>CVE-2020-26142</t>
  </si>
  <si>
    <t>An issue was discovered in the kernel in OpenBSD 6.6. The WEP, WPA, WPA2,and WPA3 implementations treat fragmented frames as full frames. Anadversary can abuse this to inject arbitrary network packets, independentof the network configuration.</t>
  </si>
  <si>
    <t>CVE-2020-26143</t>
  </si>
  <si>
    <t>An issue was discovered in the ALFA Windows 10 driver 1030.36.604 forAWUS036ACH. The WEP, WPA, WPA2, and WPA3 implementations accept fragmentedplaintext frames in a protected Wi-Fi network. An adversary can abuse thisto inject arbitrary data frames independent of the network configuration.</t>
  </si>
  <si>
    <t>CVE-2020-26146</t>
  </si>
  <si>
    <t>An issue was discovered on Samsung Galaxy S3 i9305 4.4.4 devices. The WPA,WPA2, and WPA3 implementations reassemble fragments with non-consecutivepacket numbers. An adversary can abuse this to exfiltrate selectedfragments. This vulnerability is exploitable when another device sendsfragmented frames and the WEP, CCMP, or GCMP data-confidentiality protocolis used. Note that WEP is vulnerable to this attack by design.</t>
  </si>
  <si>
    <t>CVE-2021-31879</t>
  </si>
  <si>
    <t>wget</t>
  </si>
  <si>
    <t>GNU Wget through 1.21.1 does not omit the Authorization header upon aredirect to a different origin, a related issue to CVE-2018-1000007.</t>
  </si>
  <si>
    <t>CVE-2021-3714</t>
  </si>
  <si>
    <t>A flaw was found in the Linux kernels memory deduplication mechanism.Previous work has shown that memory deduplication can be attacked via alocal exploitation mechanism. The same technique can be used if an attackercan upload page sized files and detect the change in access time from anetworked service to determine if the page has been merged.</t>
  </si>
  <si>
    <t>CVE-2021-45261</t>
  </si>
  <si>
    <t>An Invalid Pointer vulnerability exists in GNU patch 2.7 via theanother_hunk function, which causes a Denial of Service.</t>
  </si>
  <si>
    <t>CVE-2022-0480</t>
  </si>
  <si>
    <t>A flaw was found in the filelock_init in fs/locks.c function in the Linuxkernel. This issue can lead to host memory exhaustion due to memcg notlimiting the number of Portable Operating System Interface (POSIX) filelocks.</t>
  </si>
  <si>
    <t>CVE-2022-41848</t>
  </si>
  <si>
    <t>drivers/char/pcmcia/synclink_cs.c in the Linux kernel through 5.19.12 has arace condition and resultant use-after-free if a physically proximateattacker removes a PCMCIA device while calling ioctl, aka a race conditionbetween mgslpc_ioctl and mgslpc_detach.</t>
  </si>
  <si>
    <t>CVE-2022-44034</t>
  </si>
  <si>
    <t>An issue was discovered in the Linux kernel through 6.0.6.drivers/char/pcmcia/scr24x_cs.c has a race condition and resultantuse-after-free if a physically proximate attacker removes a PCMCIA devicewhile calling open(), aka a race condition between scr24x_open() andscr24x_remove().</t>
  </si>
  <si>
    <t>CVE-2022-4543</t>
  </si>
  <si>
    <t>A flaw named "EntryBleed" was found in the Linux Kernel Page TableIsolation (KPTI). This issue could allow a local attacker to leak KASLRbase via prefetch side-channels based on TLB timing for Intel systems.</t>
  </si>
  <si>
    <t>CVE-2022-48846</t>
  </si>
  <si>
    <t>In the Linux kernel, the following vulnerability has been resolved:block: release rq qos structures for queue without diskblkcg_init_queue() may add rq qos structures to request queue, previouslyblk_cleanup_queue() calls rq_qos_exit() to release them, but commit8e141f9eb803 ("block: drain file system I/O on del_gendisk")moves rq_qos_exit() into del_gendisk(), so memory leak is causedbecause queues may not have disk, such as un-present scsi luns, nvmeadmin queue, ...Fixes the issue by adding rq_qos_exit() to blk_cleanup_queue() back.BTW, v5.18 won't need this patch any more since we moveblkcg_init_queue()/blkcg_exit_queue() into disk allocation/releasehandler, and patches have been in for-5.18/block.</t>
  </si>
  <si>
    <t>CVE-2022-48929</t>
  </si>
  <si>
    <t>In the Linux kernel, the following vulnerability has been resolved:bpf: Fix crash due to out of bounds access into reg2btf_ids.When commit e6ac2450d6de ("bpf: Support bpf program calling kernelfunction") addedkfunc support, it defined reg2btf_ids as a cheap way to translate theverifierreg type to the appropriate btf_vmlinux BTF ID, howevercommit c25b2ae13603 ("bpf: Replace PTR_TO_XXX_OR_NULL with PTR_TO_XXX |PTR_MAYBE_NULL")moved the __BPF_REG_TYPE_MAX from the last member of bpf_reg_type enum toafterthe base register types, and defined other variants using type flagcomposition. However, now, the direct usage of reg-&gt;type to index intoreg2btf_ids may no longer fall into __BPF_REG_TYPE_MAX range, and hencelead toout of bounds access and kernel crash on dereference of bad pointer.</t>
  </si>
  <si>
    <t>CVE-2022-49940</t>
  </si>
  <si>
    <t>In the Linux kernel, the following vulnerability has been resolved:tty: n_gsm: add sanity check for gsm-&gt;receive in gsm_receive_buf()A null pointer dereference can happen when attempting to access the"gsm-&gt;receive()" function in gsmld_receive_buf(). Currently, the codeassumes that gsm-&gt;recieve is only called after MUX activation.Since the gsmld_receive_buf() function can be accessed without the need toinitialize the MUX, the gsm-&gt;receive() function will not be set and aNULL pointer dereference will occur.Fix this by avoiding the call to "gsm-&gt;receive()" in case the function isnot initialized by adding a sanity check.Call Trace: &lt;TASK&gt; gsmld_receive_buf+0x1c2/0x2f0 drivers/tty/n_gsm.c:2861 tiocsti drivers/tty/tty_io.c:2293 [inline] tty_ioctl+0xa75/0x15d0 drivers/tty/tty_io.c:2692 vfs_ioctl fs/ioctl.c:51 [inline] __do_sys_ioctl fs/ioctl.c:870 [inline] __se_sys_ioctl fs/ioctl.c:856 [inline] __x64_sys_ioctl+0x193/0x200 fs/ioctl.c:856 do_syscall_x64 arch/x86/entry/common.c:50 [inline] do_syscall_64+0x35/0xb0 arch/x86/entry/common.c:80 entry_SYSCALL_64_after_hwframe+0x63/0xcd</t>
  </si>
  <si>
    <t>CVE-2022-50230</t>
  </si>
  <si>
    <t>In the Linux kernel, the following vulnerability has been resolved:arm64: set UXN on swapper page tables[ This issue was fixed upstream by accident in c3cee924bd85 ("arm64:  head: cover entire kernel image in initial ID map")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t>
  </si>
  <si>
    <t>CVE-2022-50232</t>
  </si>
  <si>
    <t>CVE-2022-50332</t>
  </si>
  <si>
    <t>In the Linux kernel, the following vulnerability has been resolved:video/aperture: Call sysfb_disable() before removing PCI devicesCall sysfb_disable() from aperture_remove_conflicting_pci_devices()before removing PCI devices. Without, simpledrm can still bind tosimple-framebuffer devices after the hardware driver has taken overthe hardware. Both drivers interfere with each other and results areundefined.Reported modesetting errors [1] are shown below.---- snap ----rcu: INFO: rcu_sched detected expedited stalls on CPUs/tasks: { 13-.... } 7jiffies s: 165 root: 0x2000/.rcu: blocking rcu_node structures (internal RCU debug):Task dump for CPU 13:task:X               state:R  running task     stack:    0 pid: 4242 ppid:4228 flags:0x00000008Call Trace: &lt;TASK&gt;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&lt;/TASK&gt;...rcu: INFO: rcu_sched detected expedited stalls on CPUs/tasks: { 13-.... }30 jiffies s: 169 root: 0x2000/.rcu: blocking rcu_node structures (internal RCU debug):Task dump for CPU 13:task:X               state:R  running task     stack:    0 pid: 4242 ppid:4228 flags:0x0000400eCall Trace: &lt;TASK&gt; ? memcpy_toio+0x76/0xc0 ? memcpy_toio+0x1b/0xc0 ? drm_fb_memcpy_toio+0x76/0xb0 ? drm_fb_blit_toio+0x75/0x2b0 ? simpledrm_simple_display_pipe_update+0x132/0x150 ? drm_atomic_helper_commit_planes+0xb6/0x230 ? drm_atomic_helper_commit_tail+0x44/0x80 ? commit_tail+0xd7/0x130 ? drm_atomic_helper_commit+0x126/0x150 ? drm_atomic_commit+0xa4/0xe0 ? drm_plane_get_damage_clips.cold+0x1c/0x1c ? drm_atomic_helper_dirtyfb+0x19e/0x280 ? drm_mode_dirtyfb_ioctl+0x10f/0x1e0 ? drm_mode_getfb2_ioctl+0x2d0/0x2d0 ? drm_ioctl_kernel+0xc4/0x150 ? drm_ioctl+0x246/0x3f0 ? drm_mode_getfb2_ioctl+0x2d0/0x2d0 ? __x64_sys_ioctl+0x91/0xd0 ? do_syscall_64+0x60/0xd0 ? entry_SYSCALL_64_after_hwframe+0x4b/0xb5 &lt;/TASK&gt;The problem was added by commit 5e0137612430 ("video/aperture: Disableand unregister sysfb devices via aperture helpers") to v6.0.3 and doesnot exist in the mainline branch.The mainline commit 5e0137612430 ("video/aperture: Disable andunregister sysfb devices via aperture helpers") has been backportedfrom v6.0-rc1 to stable v6.0.3 from a larger patch series [2] thatreworks fbdev framebuffer ownership. The backport misses a change toaperture_remove_conflicting_pci_devices(). Mainline itself is fine,because the function does not exist there as a result of the patchseries.Instead of backporting the whole series, fix the additional function.</t>
  </si>
  <si>
    <t>CVE-2022-50380</t>
  </si>
  <si>
    <t>In the Linux kernel, the following vulnerability has been resolved:mm: /proc/pid/smaps_rollup: fix no vma's null-derefCommit 258f669e7e88 ("mm: /proc/pid/smaps_rollup: convert to single valueseq_file") introduced a null-deref if there are no vma's in the task inshow_smaps_rollup.</t>
  </si>
  <si>
    <t>CVE-2023-0160</t>
  </si>
  <si>
    <t>A deadlock flaw was found in the Linux kernel’s BPF subsystem. This flawallows a local user to potentially crash the system.</t>
  </si>
  <si>
    <t>CVE-2023-1193</t>
  </si>
  <si>
    <t>A use-after-free flaw was found in setup_async_work in the KSMBDimplementation of the in-kernel samba server and CIFS in the Linux kernel.This issue could allow an attacker to crash the system by accessing freedwork.</t>
  </si>
  <si>
    <t>CVE-2023-31082</t>
  </si>
  <si>
    <t>An issue was discovered in drivers/tty/n_gsm.c in the Linux kernel 6.2.There is a sleeping function called from an invalid context in gsmld_write,which will block the kernel. Note: This has been disputed by 3rd parties asnot a valid vulnerability.</t>
  </si>
  <si>
    <t>CVE-2023-4010</t>
  </si>
  <si>
    <t>A flaw was found in the USB Host Controller Driver framework in the Linuxkernel. The usb_giveback_urb function has a logic loophole in itsimplementation. Due to the inappropriate judgment condition of the gotostatement, the function cannot return under the input of a specificmalformed descriptor file, so it falls into an endless loop, resulting in adenial of service.</t>
  </si>
  <si>
    <t>CVE-2023-42366</t>
  </si>
  <si>
    <t>busybox-initramfs</t>
  </si>
  <si>
    <t>A heap-buffer-overflow was discovered in BusyBox v.1.36.1 in the next_tokenfunction at awk.c:1159.</t>
  </si>
  <si>
    <t>busybox-static</t>
  </si>
  <si>
    <t>CVE-2023-52879</t>
  </si>
  <si>
    <t>In the Linux kernel, the following vulnerability has been resolved:tracing: Have trace_event_file have ref countersThe following can crash the kernel: # cd /sys/kernel/tracing # echo 'p:sched schedule' &gt; kprobe_events # exec 5&gt;&gt;events/kprobes/sched/enable # &gt; kprobe_events # exec 5&gt;&amp;-The above commands: 1. Change directory to the tracefs directory 2. Create a kprobe event (doesn't matter what one) 3. Open bash file descriptor 5 on the enable file of the kprobe event 4. Delete the kprobe event (removes the files too) 5. Close the bash file descriptor 5The above causes a crash! BUG: kernel NULL pointer dereference, address: 0000000000000028 #PF: supervisor read access in kernel mode #PF: error_code(0x0000) - not-present page PGD 0 P4D 0 Oops: 0000 [#1] PREEMPT SMP PTI CPU: 6 PID: 877 Comm: bash Not tainted6.5.0-rc4-test-00008-g2c6b6b1029d4-dirty #186 Hardware name: QEMU Standard PC (Q35 + ICH9, 2009), BIOS1.16.2-debian-1.16.2-1 04/01/2014 RIP: 0010:tracing_release_file_tr+0xc/0x50What happens here is that the kprobe event creates a trace_event_file"file" descriptor that represents the file in tracefs to the event. Itmaintains state of the event (is it enabled for the given instance?).Opening the "enable" file gets a reference to the event "file" descriptorvia the open file descriptor. When the kprobe event is deleted, the file isalso deleted from the tracefs system which also frees the event "file"descriptor.But as the tracefs file is still opened by user space, it will not betotally removed until the final dput() is called on it. But this is nottrue with the event "file" descriptor that is already freed. If the userdoes a write to or simply closes the file descriptor it will reference theevent "file" descriptor that was just freed, causing a use-after-free bug.To solve this, add a ref count to the event "file" descriptor as well as anew flag called "FREED". The "file" will not be freed until the lastreference is released. But the FREE flag will be set when the event isremoved to prevent any more modifications to that event from happening,even if there's still a reference to the event "file" descriptor.</t>
  </si>
  <si>
    <t>CVE-2023-53642</t>
  </si>
  <si>
    <t>In the Linux kernel, the following vulnerability has been resolved:x86: fix clear_user_rep_good() exception handling annotationThis code no longer exists in mainline, because it was removed incommit d2c95f9d6802 ("x86: don't use REP_GOOD or ERMS for user memoryclearing") upstream.However, rather than backport the full range of x86 memory clearing andcopying cleanups, fix the exception table annotation placement for thefinal 'rep movsb' in clear_user_rep_good(): rather than pointing at theactual instruction that did the user space access, it pointed to theregister move just before it.That made sense from a code flow standpoint, but not from an actualusage standpoint: it means that if user access takes an exception, theexception handler won't actually find the instruction in the exceptiontables.As a result, rather than fixing it up and returning -EFAULT, it wouldthen turn it into a kernel oops report instead, something like:    BUG: unable to handle page fault for address: 0000000020081000    #PF: supervisor write access in kernel mode    #PF: error_code(0x0002) - not-present page    ...    RIP: 0010:clear_user_rep_good+0x1c/0x30arch/x86/lib/clear_page_64.S:147    ...    Call Trace:      __clear_user arch/x86/include/asm/uaccess_64.h:103 [inline]      clear_user arch/x86/include/asm/uaccess_64.h:124 [inline]      iov_iter_zero+0x709/0x1290 lib/iov_iter.c:800      iomap_dio_hole_iter fs/iomap/direct-io.c:389 [inline]      iomap_dio_iter fs/iomap/direct-io.c:440 [inline]      __iomap_dio_rw+0xe3d/0x1cd0 fs/iomap/direct-io.c:601      iomap_dio_rw+0x40/0xa0 fs/iomap/direct-io.c:689      ext4_dio_read_iter fs/ext4/file.c:94 [inline]      ext4_file_read_iter+0x4be/0x690 fs/ext4/file.c:145      call_read_iter include/linux/fs.h:2183 [inline]      do_iter_readv_writev+0x2e0/0x3b0 fs/read_write.c:733      do_iter_read+0x2f2/0x750 fs/read_write.c:796      vfs_readv+0xe5/0x150 fs/read_write.c:916      do_preadv+0x1b6/0x270 fs/read_write.c:1008      __do_sys_preadv2 fs/read_write.c:1070 [inline]      __se_sys_preadv2 fs/read_write.c:1061 [inline]      __x64_sys_preadv2+0xef/0x150 fs/read_write.c:1061      do_syscall_x64 arch/x86/entry/common.c:50 [inline]      do_syscall_64+0x39/0xb0 arch/x86/entry/common.c:80      entry_SYSCALL_64_after_hwframe+0x63/0xcdwhich then looks like a filesystem bug rather than the incorrectexception annotation that it is.[ The alternative to this one-liner fix is to take the upstream series  that cleans this all up:    68674f94ffc9 ("x86: don't use REP_GOOD or ERMS for small memorycopies")    20f3337d350c ("x86: don't use REP_GOOD or ERMS for small memoryclearing")    adfcf4231b8c ("x86: don't use REP_GOOD or ERMS for user memory copies")  * d2c95f9d6802 ("x86: don't use REP_GOOD or ERMS for user memoryclearing")    3639a535587d ("x86: move stac/clac from user copy routines intocallers")    577e6a7fd50d ("x86: inline the 'rep movs' in user copies for the FSRMcase")    8c9b6a88b7e2 ("x86: improve on the non-rep 'clear_user' function")    427fda2c8a49 ("x86: improve on the non-rep 'copy_user' function")  * e046fe5a36a9 ("x86: set FSRS automatically on AMD CPUs that have FSRM")    e1f2750edc4a ("x86: remove 'zerorest' argument from__copy_user_nocache()")    034ff37d3407 ("x86: rewrite '__copy_user_nocache' function")  with either the whole series or at a minimum the two marked commits  being needed to fix this issue ]</t>
  </si>
  <si>
    <t>CVE-2023-6238</t>
  </si>
  <si>
    <t>A buffer overflow vulnerability was found in the NVM Express (NVMe) driverin the Linux kernel. Only privileged user could specify a small meta bufferand let the device perform larger Direct Memory Access (DMA) into the samebuffer, overwriting unrelated kernel memory, causing random kernel crashesand memory corruption.</t>
  </si>
  <si>
    <t>CVE-2023-6240</t>
  </si>
  <si>
    <t>A Marvin vulnerability side-channel leakage was found in the RSA decryptionoperation in the Linux Kernel. This issue may allow a network attacker todecrypt ciphertexts or forge signatures, limiting the services that usethat private key.</t>
  </si>
  <si>
    <t>CVE-2023-7216</t>
  </si>
  <si>
    <t>cpio</t>
  </si>
  <si>
    <t>A path traversal vulnerability was found in the CPIO utility. This issuecould allow a remote unauthenticated attacker to trick a user into openinga specially crafted archive. During the extraction process, the archivercould follow symlinks outside of the intended directory, which allows filesto be written in arbitrary directories through symlinks.</t>
  </si>
  <si>
    <t>CVE-2024-0564</t>
  </si>
  <si>
    <t>A flaw was found in the Linux kernel's memory deduplication mechanism. Themax page sharing of Kernel Samepage Merging (KSM), added in Linux kernelversion 4.4.0-96.119, can create a side channel. When the attacker and thevictim share the same host and the default setting of KSM is "max pagesharing=256", it is possible for the attacker to time the unmap to mergewith the victim's page. The unmapping time depends on whether it mergeswith the victim's page and additional physical pages are created beyond theKSM's "max page share". Through these operations, the attacker can leak thevictim's page.</t>
  </si>
  <si>
    <t>CVE-2024-2236</t>
  </si>
  <si>
    <t>libgcrypt20</t>
  </si>
  <si>
    <t>A timing-based side-channel flaw was found in libgcrypt's RSAimplementation. This issue may allow a remote attacker to initiate aBleichenbacher-style attack, which can lead to the decryption of RSAciphertexts.</t>
  </si>
  <si>
    <t>CVE-2024-24864</t>
  </si>
  <si>
    <t>A race condition was found in the Linux kernel's media/dvb-core indvbdmx_write() function. This can result in a null pointer dereferenceissue, possibly leading to a kernel panic or denial of service issue.</t>
  </si>
  <si>
    <t>CVE-2024-25740</t>
  </si>
  <si>
    <t>A memory leak flaw was found in the UBI driver in drivers/mtd/ubi/attach.cin the Linux kernel through 6.7.4 for UBI_IOCATT, because kobj-&gt;name is notreleased.</t>
  </si>
  <si>
    <t>CVE-2024-35895</t>
  </si>
  <si>
    <t>In the Linux kernel, the following vulnerability has been resolved:bpf, sockmap: Prevent lock inversion deadlock in map delete elemsyzkaller started using corpuses where a BPF tracing program deleteselements from a sockmap/sockhash map. Because BPF tracing programs can beinvoked from any interrupt context, locks taken during a map_delete_elemoperation must be hardirq-safe. Otherwise a deadlock due to lock inversionis possible, as reported by lockdep:       CPU0                    CPU1       ----                    ----  lock(&amp;htab-&gt;buckets[i].lock);                               local_irq_disable();                               lock(&amp;host-&gt;lock);                               lock(&amp;htab-&gt;buckets[i].lock);  &lt;Interrupt&gt;    lock(&amp;host-&gt;lock);Locks in sockmap are hardirq-unsafe by design. We expects elements to bedeleted from sockmap/sockhash only in task (normal) context with interruptsenabled, or in softirq context.Detect when map_delete_elem operation is invoked from a context which is_not_ hardirq-unsafe, that is interrupts are disabled, and bail out with anerror.Note that map updates are not affected by this issue. BPF verifier does notallow updating sockmap/sockhash from a BPF tracing program today.</t>
  </si>
  <si>
    <t>CVE-2024-35995</t>
  </si>
  <si>
    <t>In the Linux kernel, the following vulnerability has been resolved:ACPI: CPPC: Use access_width over bit_width for system memory accessesTo align with ACPI 6.3+, since bit_width can be any 8-bit value, itcannot be depended on to be always on a clean 8b boundary. This wasuncovered on the Cobalt 100 platform.SError Interrupt on CPU26, code 0xbe000011 -- SError CPU: 26 PID: 1510 Comm: systemd-udevd Not tainted 5.15.2.1-13 #1 Hardware name: MICROSOFT CORPORATION, BIOS MICROSOFT CORPORATION pstate: 62400009 (nZCv daif +PAN -UAO +TCO -DIT -SSBS BTYPE=--) pc : cppc_get_perf_caps+0xec/0x410 lr : cppc_get_perf_caps+0xe8/0x410 sp : ffff8000155ab730 x29: ffff8000155ab730 x28: ffff0080139d0038 x27: ffff0080139d0078 x26: 0000000000000000 x25: ffff0080139d0058 x24: 00000000ffffffff x23: ffff0080139d0298 x22: ffff0080139d0278 x21: 0000000000000000 x20: ffff00802b251910 x19: ffff0080139d0000 x18: ffffffffffffffff x17: 0000000000000000 x16: ffffdc7e111bad04 x15: ffff00802b251008 x14: ffffffffffffffff x13: ffff013f1fd63300 x12: 0000000000000006 x11: ffffdc7e128f4420 x10: 0000000000000000 x9 : ffffdc7e111badec x8 : ffff00802b251980 x7 : 0000000000000000 x6 : ffff0080139d0028 x5 : 0000000000000000 x4 : ffff0080139d0018 x3 : 00000000ffffffff x2 : 0000000000000008 x1 : ffff8000155ab7a0 x0 : 0000000000000000 Kernel panic - not syncing: Asynchronous SError Interrupt CPU: 26 PID: 1510 Comm: systemd-udevd Not tainted5.15.2.1-13 #1 Hardware name: MICROSOFT CORPORATION, BIOS MICROSOFT CORPORATION Call trace:  dump_backtrace+0x0/0x1e0  show_stack+0x24/0x30  dump_stack_lvl+0x8c/0xb8  dump_stack+0x18/0x34  panic+0x16c/0x384  add_taint+0x0/0xc0  arm64_serror_panic+0x7c/0x90  arm64_is_fatal_ras_serror+0x34/0xa4  do_serror+0x50/0x6c  el1h_64_error_handler+0x40/0x74  el1h_64_error+0x7c/0x80  cppc_get_perf_caps+0xec/0x410  cppc_cpufreq_cpu_init+0x74/0x400 [cppc_cpufreq]  cpufreq_online+0x2dc/0xa30  cpufreq_add_dev+0xc0/0xd4  subsys_interface_register+0x134/0x14c  cpufreq_register_driver+0x1b0/0x354  cppc_cpufreq_init+0x1a8/0x1000 [cppc_cpufreq]  do_one_initcall+0x50/0x250  do_init_module+0x60/0x27c  load_module+0x2300/0x2570  __do_sys_finit_module+0xa8/0x114  __arm64_sys_finit_module+0x2c/0x3c  invoke_syscall+0x78/0x100  el0_svc_common.constprop.0+0x180/0x1a0  do_el0_svc+0x84/0xa0  el0_svc+0x2c/0xc0  el0t_64_sync_handler+0xa4/0x12c  el0t_64_sync+0x1a4/0x1a8Instead, use access_width to determine the size and use the offset andwidth to shift and mask the bits to read/write out. Make sure to add acheck for system memory since pcc redefines the access_width tosubspace id.If access_width is not set, then fall back to using bit_width.[ rjw: Subject and changelog edits, comment adjustments ]</t>
  </si>
  <si>
    <t>CVE-2024-53240</t>
  </si>
  <si>
    <t>In the Linux kernel, the following vulnerability has been resolved:xen/netfront: fix crash when removing deviceWhen removing a netfront device directly after a suspend/resume cycleit might happen that the queues have not been setup again, causing acrash during the attempt to stop the queues another time.Fix that by checking the queues are existing before trying to stopthem.This is XSA-465 / CVE-2024-53240.</t>
  </si>
  <si>
    <t>CVE-2024-53241</t>
  </si>
  <si>
    <t>In the Linux kernel, the following vulnerability has been resolved:x86/xen: don't do PV iret hypercall through hypercall pageInstead of jumping to the Xen hypercall page for doing the irethypercall, directly code the required sequence in xen-asm.S.This is done in preparation of no longer using hypercall page at all,as it has shown to cause problems with speculation mitigations.This is part of XSA-466 / CVE-2024-53241.</t>
  </si>
  <si>
    <t>CVE-2025-0033</t>
  </si>
  <si>
    <t>amd64-microcode</t>
  </si>
  <si>
    <t>Improper access control within AMD SEV-SNP could allow an admin privilegedattacker to write to the RMP during SNP initialization, potentiallyresulting in a loss of SEV-SNP guest memory integrity.</t>
  </si>
  <si>
    <t>CVE-2025-12801</t>
  </si>
  <si>
    <t>A vulnerability was recently discovered in the rpc.mountd daemon in thenfs-utils package for Linux, that allows a NFSv3 client to escalate theprivileges assigned to it in the /etc/exports file at mount time. Inparticular, it allows the client to access any subdirectory or subtree ofan exported directory, regardless of the set file permissions, andregardless of any 'root_squash' or 'all_squash' attributes that wouldnormally be expected to apply to that client.</t>
  </si>
  <si>
    <t>CVE-2025-1352</t>
  </si>
  <si>
    <t>libdebuginfod-common</t>
  </si>
  <si>
    <t>A vulnerability has been found in GNU elfutils 0.192 and classified ascritical. This vulnerability affects the function __libdw_thread_tail inthe library libdw_alloc.c of the component eu-readelf. The manipulation ofthe argument w leads to memory corruption. The attack can be initiatedremotely. The complexity of an attack is rather high. The exploitationappears to be difficult. The exploit has been disclosed to the public andmay be used. The name of the patch is2636426a091bd6c6f7f02e49ab20d4cdc6bfc753. It is recommended to apply apatch to fix this issue.</t>
  </si>
  <si>
    <t>libelf1t64</t>
  </si>
  <si>
    <t>libdebuginfod1t64</t>
  </si>
  <si>
    <t>libdw1t64</t>
  </si>
  <si>
    <t>CVE-2025-21988</t>
  </si>
  <si>
    <t>In the Linux kernel, the following vulnerability has been resolved:fs/netfs/read_collect: add to next-&gt;prev_donatedIf multiple subrequests donate data to the same "next" request(depending on the subrequest completion order), each of them wouldoverwrite the `prev_donated` field, causing data corruption and aBUG() crash ("Can't donate prior to front").</t>
  </si>
  <si>
    <t>CVE-2025-22077</t>
  </si>
  <si>
    <t>In the Linux kernel, the following vulnerability has been resolved:Revert "smb: client: fix TCP timers deadlock after rmmod"This reverts commit e9f2517a3e18a54a3943c098d2226b245d488801.Commit e9f2517a3e18 ("smb: client: fix TCP timers deadlock afterrmmod") is intended to fix a null-ptr-deref in LOCKDEP, which ismentioned as CVE-2024-54680, but is actually did not fix anything;The issue can be reproduced on top of it. [0]Also, it reverted the change by commit ef7134c7fc48 ("smb: client:Fix use-after-free of network namespace.") and introduced a realissue by reviving the kernel TCP socket.When a reconnect happens for a CIFS connection, the socket statetransitions to FIN_WAIT_1.  Then, inet_csk_clear_xmit_timers_sync()in tcp_close() stops all timers for the socket.If an incoming FIN packet is lost, the socket will stay at FIN_WAIT_1forever, and such sockets could be leaked up to net.ipv4.tcp_max_orphans.Usually, FIN can be retransmitted by the peer, but if the peer abortsthe connection, the issue comes into reality.I warned about this privately by pointing out the exact report [1],but the bogus fix was finally merged.So, we should not stop the timers to finally kill the connection onour side in that case, meaning we must not use a kernel socket forTCP whose sk-&gt;sk_net_refcnt is 0.The kernel socket does not have a reference to its netns to make itpossible to tear down netns without cleaning up every resource in it.For example, tunnel devices use a UDP socket internally, but we candestroy netns without removing such devices and let it completeduring exit.  Otherwise, netns would be leaked when the last applicationdied.However, this is problematic for TCP sockets because TCP has timers toclose the connection gracefully even after the socket is close()d.  Thelifetime of the socket and its netns is different from the lifetime ofthe underlying connection.If the socket user does not maintain the netns lifetime, the timer couldbe fired after the socket is close()d and its netns is freed up, resultingin use-after-free.Actually, we have seen so many similar issues and converted such socketsto have a reference to netns.That's why I converted the CIFS client socket to have a reference tonetns (sk-&gt;sk_net_refcnt == 1), which is somehow mentioned as out-of-scopeof CIFS and technically wrong in e9f2517a3e18, but **is in-scope and rightfix**.Regarding the LOCKDEP issue, we can prevent the module unload bybumping the module refcount when switching the LOCKDDEP key insock_lock_init_class_and_name(). [2]For a while, let's revert the bogus fix.Note that now we can use sk_net_refcnt_upgrade() for the socketconversion, but I'll do so later separately to make backport easy.</t>
  </si>
  <si>
    <t>CVE-2025-60876</t>
  </si>
  <si>
    <t>BusyBox wget thru 1.3.7 accepted raw CR (0x0D)/LF (0x0A) and other C0control bytes in the HTTP request-target (path/query), allowing the requestline to be split and attacker-controlled headers to be injected. Topreserve the HTTP/1.1 request-line shape METHOD SP request-target SPHTTP/1.1, a raw space (0x20) in the request-target must also be rejected(clients should use %20).</t>
  </si>
  <si>
    <t>CVE-2026-12216</t>
  </si>
  <si>
    <t>libduktape207</t>
  </si>
  <si>
    <t>A weakness has been identified in svaarala duktape up to 2.99.99. Thisissue affects some unknown processing of the file duk_api_bytecode.c.Executing a manipulation of the argument count_instr can lead to memorycorruption. The attack requires local access. The exploit has been madeavailable to the public and could be used for attacks. The vendor wascontacted early about this disclosure but did not respond in any way.</t>
  </si>
  <si>
    <t>CVE-2026-13757</t>
  </si>
  <si>
    <t>libp11-kit0</t>
  </si>
  <si>
    <t>A flaw was found in p11-kit. The RPC message attribute parsing functionsp11_rpc_message_get_attribute() andp11_rpc_message_get_attribute_array_value() form a mutually-recursive callchain with no recursion depth limit when processing nestedCKA_WRAP_TEMPLATE, CKA_UNWRAP_TEMPLATE, and CKA_DERIVE_TEMPLATE attributes.An unauthenticated attacker with local access to the p11-kit RPC Unixdomain socket can send a specially crafted request with deeply nestedtemplate attributes, causing stack exhaustion and crashing the p11-kitserver process and its dependent services.</t>
  </si>
  <si>
    <t>CVE-2026-27456</t>
  </si>
  <si>
    <t>util-linux</t>
  </si>
  <si>
    <t>util-linux is a random collection of Linux utilities. Prior to version2.41.4, a TOCTOU (Time-of-Check-Time-of-Use) vulnerability has beenidentified in the SUID binary /usr/bin/mount from util-linux. The mountbinary, when setting up loop devices, validates the source file path withuser privileges via fork() + setuid() + realpath(), but subsequentlyre-canonicalizes and opens it with root privileges (euid=0) withoutverifying that the path has not been replaced between both operations.Neither O_NOFOLLOW, nor inode comparison, nor post-open fstat() areemployed. This allows a local unprivileged user to replace the source filewith a symlink pointing to any root-owned file or device during the racewindow, causing the SUID binary to open and mount it as root. Exploitationrequires an /etc/fstab entry with user,loop options whose path points to adirectory where the attacker has write permission, and that /usr/bin/mounthas the SUID bit set (the default configuration on virtually all Linuxdistributions). The impact is unauthorized read access to root-protectedfiles and block devices, including backup images, disk volumes, and anyfile containing a valid filesystem. This issue has been patched in version2.41.4.</t>
  </si>
  <si>
    <t>libmount1</t>
  </si>
  <si>
    <t>liblastlog2-2</t>
  </si>
  <si>
    <t>mount</t>
  </si>
  <si>
    <t>fdisk</t>
  </si>
  <si>
    <t>util-linux-extra</t>
  </si>
  <si>
    <t>bsdutils</t>
  </si>
  <si>
    <t>libuuid1</t>
  </si>
  <si>
    <t>libsmartcols1</t>
  </si>
  <si>
    <t>login</t>
  </si>
  <si>
    <t>uuid-runtime</t>
  </si>
  <si>
    <t>eject</t>
  </si>
  <si>
    <t>libblkid1</t>
  </si>
  <si>
    <t>bsdextrautils</t>
  </si>
  <si>
    <t>libfdisk1</t>
  </si>
  <si>
    <t>CVE-2026-33179</t>
  </si>
  <si>
    <t>libfuse is the reference implementation of the Linux FUSE. From version3.18.0 to before version 3.18.2, a NULL pointer dereference and memory leakin fuse_uring_init_queue allows a local user to crash the FUSE daemon orcause resource exhaustion. When numa_alloc_local fails during io_uringqueue entry setup, the code proceeds with NULL pointers. Whenfuse_uring_register_queue fails, NUMA allocations are leaked and thefunction incorrectly returns success. Only the io_uring transport isaffected; the traditional /dev/fuse path is not affected. PoC confirmedwith AddressSanitizer/LeakSanitizer. This issue has been patched in version3.18.2.</t>
  </si>
  <si>
    <t>CVE-2026-35345</t>
  </si>
  <si>
    <t>A vulnerability in the tail utility of uutils coreutils allows for theexfiltration of sensitive file contents when using the --follow=nameoption. Unlike GNU tail, the uutils implementation continues to monitor apath after it has been replaced by a symbolic link, subsequently outputtingthe contents of the link's target. In environments where a privileged user(e.g., root) monitors a log directory, a local attacker with write accessto that directory can replace a log file with a symlink to a sensitivesystem file (such as /etc/shadow), causing tail to disclose the contents ofthe sensitive file.</t>
  </si>
  <si>
    <t>CVE-2026-35348</t>
  </si>
  <si>
    <t>The sort utility in uutils coreutils is vulnerable to a process panic whenusing the --files0-from option with inputs containing non-UTF-8 filenames.The implementation enforces UTF-8 encoding and utilizes expect(), causingan immediate crash when encountering valid but non-UTF-8 paths. Thisdiverges from GNU sort, which treats filenames as raw bytes. A localattacker can exploit this to crash the utility and disrupt automatedpipelines.</t>
  </si>
  <si>
    <t>CVE-2026-35350</t>
  </si>
  <si>
    <t>The cp utility in uutils coreutils fails to properly handle setuid andsetgid bits when ownership preservation fails. When copying with the -p(preserve) flag, the utility applies the source mode bits even if the chownoperation is unsuccessful. This can result in a user-owned copy retainingoriginal privileged bits, creating unexpected privileged executables thatviolate local security policies. This differs from GNU cp, which clearsthese bits when ownership cannot be preserved.</t>
  </si>
  <si>
    <t>CVE-2026-35351</t>
  </si>
  <si>
    <t>The mv utility in uutils coreutils fails to preserve file ownership duringmoves across different filesystem boundaries. The utility falls back to acopy-and-delete routine that creates the destination file using thecaller's UID/GID rather than the source's metadata. This flaw breaksbackups and migrations, causing files moved by a privileged user (e.g.,root) to become root-owned unexpectedly, which can lead to informationdisclosure or restricted access for the intended owners.</t>
  </si>
  <si>
    <t>CVE-2026-35354</t>
  </si>
  <si>
    <t>A Time-of-Check to Time-of-Use (TOCTOU) vulnerability exists in the mvutility of uutils coreutils during cross-device moves. The extendedattribute (xattr) preservation logic uses multiple path-based system callsthat perform fresh path-to-inode lookups for each operation. A localattacker with write access to the directory can exploit this race to swapfiles between calls, causing the destination file to receive aninconsistent mix of security xattrs, such as SELinux labels or filecapabilities.</t>
  </si>
  <si>
    <t>CVE-2026-35357</t>
  </si>
  <si>
    <t>The cp utility in uutils coreutils is vulnerable to an informationdisclosure race condition. Destination files are initially created withumask-derived permissions (e.g., 0644) before being restricted to theirfinal mode (e.g., 0600) later in the process. A local attacker can race toopen the file during this window; once obtained, the file descriptorremains valid and readable even after the permissions are tightened,exposing sensitive or private file contents.</t>
  </si>
  <si>
    <t>CVE-2026-35359</t>
  </si>
  <si>
    <t>A Time-of-Check to Time-of-Use (TOCTOU) vulnerability in the cp utility ofuutils coreutils allows an attacker to bypass no-dereference intent. Theutility checks if a source path is a symbolic link using path-basedmetadata but subsequently opens it without the O_NOFOLLOW flag. An attackerwith concurrent write access can swap a regular file for a symbolic linkduring this window, causing a privileged cp process to copy the contents ofarbitrary sensitive files into a destination controlled by the attacker.</t>
  </si>
  <si>
    <t>CVE-2026-35360</t>
  </si>
  <si>
    <t>The touch utility in uutils coreutils is vulnerable to a Time-of-Check toTime-of-Use (TOCTOU) race condition during file creation. When the utilityidentifies a missing path, it later attempts creation using File::create(),which internally uses O_TRUNC. An attacker can exploit this window tocreate a file or swap a symlink at the target path, causing touch totruncate an existing file and leading to permanent data loss.</t>
  </si>
  <si>
    <t>CVE-2026-35363</t>
  </si>
  <si>
    <t>A vulnerability in the rm utility of uutils coreutils allows the bypass ofsafeguard mechanisms intended to protect the current directory. While theutility correctly refuses to delete . or .., it fails to recognizeequivalent paths with trailing slashes, such as ./ or .///. An accidentalor malicious execution of rm -rf ./ results in the silent recursivedeletion of all contents within the current directory. The command furtherobscures the data loss by reporting a misleading 'Invalid input' error,which may cause users to miss the critical window for data recovery.</t>
  </si>
  <si>
    <t>CVE-2026-35364</t>
  </si>
  <si>
    <t>A Time-of-Check to Time-of-Use (TOCTOU) race condition exists in the mvutility of uutils coreutils during cross-device operations. The utilityremoves the destination path before recreating it through a copy operation.A local attacker with write access to the destination directory can exploitthis window to replace the destination with a symbolic link. The subsequentprivileged move operation will follow the symlink, allowing the attacker toredirect the write and overwrite an arbitrary target file with contentsfrom the source.</t>
  </si>
  <si>
    <t>CVE-2026-35370</t>
  </si>
  <si>
    <t>The id utility in uutils coreutils miscalculates the groups= section of itsoutput. The implementation uses a user's real GID instead of theireffective GID to compute the group list, leading to potentially divergentoutput compared to GNU coreutils. Because many scripts and automatedprocesses rely on the output of id to make security-critical access-controlor permission decisions, this discrepancy can lead to unauthorized accessor security misconfigurations.</t>
  </si>
  <si>
    <t>CVE-2026-35374</t>
  </si>
  <si>
    <t>A Time-of-Check to Time-of-Use (TOCTOU) vulnerability exists in the splitutility of uutils coreutils. The program attempts to prevent data loss bychecking for identity between input and output files using their file pathsbefore initiating the split operation. However, the utility subsequentlyopens the output file with truncation after this path-based validation iscomplete. A local attacker with write access to the directory can exploitthis race window by manipulating mutable path components (e.g., swapping apath with a symbolic link). This can cause split to truncate and write toan unintended target file, potentially including the input file itself orother sensitive files accessible to the process, leading to permanent dataloss.</t>
  </si>
  <si>
    <t>CVE-2026-41256</t>
  </si>
  <si>
    <t>libjq1</t>
  </si>
  <si>
    <t>jq is a command-line JSON processor. In 1.8.1 and earlier, Top-level jqprograms loaded from a file with -f are truncated at the first embedded NULbyte on current upstream HEAD. A crafted filter file such as . followed by\x00 and arbitrary suffix compiles and executes as only the prefix beforethe NUL. This leaves jq with a post-CVE-2026-33948 prefix/full-buffermismatch on the compilation path even though the JSON parser path hasalready been fixed.</t>
  </si>
  <si>
    <t>jq</t>
  </si>
  <si>
    <t>CVE-2026-41257</t>
  </si>
  <si>
    <t>jq is a command-line JSON processor. In 1.8.1 and earlier, the jq bytecodeVM's data stack tracks its allocation size in a signed int. When the stackgrows beyond ≈1 GiB (via deeply nested generator forks), the doublingarithmetic overflows. The wrapped value is passed to realloc and then usedfor a memmove with attacker-influenced offsets.</t>
  </si>
  <si>
    <t>CVE-2026-43492</t>
  </si>
  <si>
    <t>In the Linux kernel, the following vulnerability has been resolved:lib/crypto: mpi: Fix integer underflow in mpi_read_raw_from_sgl()Yiming reports an integer underflow in mpi_read_raw_from_sgl() whensubtracting "lzeros" from the unsigned "nbytes".For this to happen, the scatterlist "sgl" needs to occupy more bytesthan the "nbytes" parameter and the first "nbytes + 1" bytes of thescatterlist must be zero.  Under these conditions, the while loopiterating over the scatterlist will count more zeroes than "nbytes",subtract the number of zeroes from "nbytes" and cause the underflow.When commit 2d4d1eea540b ("lib/mpi: Add mpi sgl helpers") originallyintroduced the bug, it couldn't be triggered because all callers ofmpi_read_raw_from_sgl() passed a scatterlist whose length was equal to"nbytes".However since commit 63ba4d67594a ("KEYS: asymmetric: Use new cryptointerface without scatterlists"), the underflow can now actually betriggered.  When invoking a KEYCTL_PKEY_ENCRYPT system call with alarger "out_len" than "in_len" and filling the "in" buffer with zeroes,crypto_akcipher_sync_prep() will create an all-zero scatterlist used forboth the "src" and "dst" member of struct akcipher_request and therebyfulfil the conditions to trigger the bug:  sys_keyctl()    keyctl_pkey_e_d_s()      asymmetric_key_eds_op()        software_key_eds_op()          crypto_akcipher_sync_encrypt()            crypto_akcipher_sync_prep()              crypto_akcipher_encrypt()                rsa_enc()                  mpi_read_raw_from_sgl()To the user this will be visible as a DoS as the kernel spins forever,causing soft lockup splats as a side effect.Fix it.</t>
  </si>
  <si>
    <t>CVE-2026-43496</t>
  </si>
  <si>
    <t>In the Linux kernel, the following vulnerability has been resolved:net/sched: sch_red: Replace direct dequeue call with peek andqdisc_dequeue_peekedWhen red qdisc has children (eg qfq qdisc) whose peek() callback isqdisc_peek_dequeued(), we could get a kernel panic. When the parent of suchqdiscs (eg illustrated in patch #3 as tbf) wants to retrieve an skb fromits child (red in this case), it will do the following: 1a. do a peek() - and when sensing there's an skb the child can offer,then     - the child in this case(red) calls its child's (qfq) peek.        qfq does the right thing and will return the gso_skb queue packet.        Note: if there wasnt a gso_skb entry then qfq will store it there. 1b. invoke a dequeue() on the child (red). And herein lies the problem.     - red will call the child's dequeue() which will essentially just       try to grab something of qfq's queue.[   78.667668][  T363] KASAN: null-ptr-deref in range[0x0000000000000048-0x000000000000004f][   78.667927][  T363] CPU: 1 UID: 0 PID: 363 Comm: ping Not tainted7.1.0-rc1-00033-g46f74a3f7d57-dirty #790 PREEMPT(full)[   78.668263][  T363] Hardware name: Bochs Bochs, BIOS Bochs 01/01/2011[   78.668486][  T363] RIP: 0010:qfq_dequeue+0x446/0xc90 [sch_qfq][   78.668718][  T363] Code: 54 c0 e8 dd 90 00 f1 48 c7 c7 e0 03 54 c0 4889 de e8 ce 90 00 f1 48 8d 7b 48 b8 ff ff 37 00 48 89 fa 48 c1 e0 2a 48 c1ea 03 &lt;80&gt; 3c 02 00 74 05 e8 ef a1 e1 f1 48 8b 7b 48 48 8d 54 24 58 48 8d[   78.669312][  T363] RSP: 0018:ffff88810de573e0 EFLAGS: 00010216[   78.669533][  T363] RAX: dffffc0000000000 RBX: 0000000000000000 RCX:0000000000000000[   78.669790][  T363] RDX: 0000000000000009 RSI: 0000000000000004 RDI:0000000000000048[   78.670044][  T363] RBP: ffff888110dc4000 R08: ffffffffb1b0885a R09:fffffbfff6ba9078[   78.670297][  T363] R10: 0000000000000003 R11: ffff888110e31c80 R12:0000001880000000[   78.670560][  T363] R13: ffff888110dc4150 R14: ffff888110dc42b8 R15:0000000000000200[   78.670814][  T363] FS:  00007f66a8f09c40(0000)GS:ffff888163428000(0000) knlGS:0000000000000000[   78.671110][  T363] CS:  0010 DS: 0000 ES: 0000 CR0: 0000000080050033[   78.671324][  T363] CR2: 000055db4c6a30a8 CR3: 000000010da67000 CR4:0000000000750ef0[   78.671585][  T363] PKRU: 55555554[   78.671713][  T363] Call Trace:[   78.671843][  T363]  &lt;TASK&gt;[   78.671936][  T363]  ? __pfx_qfq_dequeue+0x10/0x10 [sch_qfq][   78.672148][  T363]  ? __pfx__printk+0x10/0x10[   78.672322][  T363]  ? srso_alias_return_thunk+0x5/0xfbef5[   78.672496][  T363]  ? lockdep_hardirqs_on_prepare+0xa8/0x1a0[   78.672706][  T363]  ? srso_alias_return_thunk+0x5/0xfbef5[   78.672875][  T363]  ? trace_hardirqs_on+0x19/0x1a0[   78.673047][  T363]  red_dequeue+0x65/0x270 [sch_red][   78.673217][  T363]  ? srso_alias_return_thunk+0x5/0xfbef5[   78.673385][  T363]  tbf_dequeue.cold+0xb0/0x70c [sch_tbf][   78.673566][  T363]  __qdisc_run+0x169/0x1900The right thing to do in #1b is to grab the skb off gso_skb queue.This patchset fixes that issue by changing #1b to useqdisc_dequeue_peeked()method instead.</t>
  </si>
  <si>
    <t>CVE-2026-43895</t>
  </si>
  <si>
    <t>jq is a command-line JSON processor. In 1.8.1 and earlier, jq acceptsembedded NUL bytes in import paths at the jq-language level, but laterresolves those paths through C string operations during module anddata-file lookup. This creates a mismatch between the logical import stringthat policy or audit code may validate and the on-disk path that jqactually opens.</t>
  </si>
  <si>
    <t>CVE-2026-43896</t>
  </si>
  <si>
    <t>jq is a command-line JSON processor. In 1.8.1 and earlier, unboundedrecursion in jv_object_merge_recursive() allows a crafted jq program tocrash the process with a segfault. The function is reachable through the *operator when both operands are objects.</t>
  </si>
  <si>
    <t>CVE-2026-4438</t>
  </si>
  <si>
    <t>Calling gethostbyaddr or gethostbyaddr_r with a configured nsswitch.confthat specifies the library's DNS backend in the GNU C library version 2.34to version 2.43 could result in an invalid DNS hostname being returned tothe caller in violation of the DNS specification.</t>
  </si>
  <si>
    <t>CVE-2026-44777</t>
  </si>
  <si>
    <t>jq is a command-line JSON processor. In 1.8.2rc1 and earlier, the ordinarymodule loader recurses without cycle detection when twootherwise valid modules include each other.</t>
  </si>
  <si>
    <t>CVE-2026-45834</t>
  </si>
  <si>
    <t>In the Linux kernel, the following vulnerability has been resolved:Bluetooth: L2CAP: Fix null-ptr-deref in l2cap_sock_state_change_cb()Add the same NULL guard already present inl2cap_sock_resume_cb() and l2cap_sock_ready_cb().</t>
  </si>
  <si>
    <t>CVE-2026-45835</t>
  </si>
  <si>
    <t>In the Linux kernel, the following vulnerability has been resolved:Bluetooth: L2CAP: Fix null-ptr-deref in l2cap_sock_new_connection_cb()Add the same NULL guard already present inl2cap_sock_resume_cb() and l2cap_sock_ready_cb().</t>
  </si>
  <si>
    <t>CVE-2026-45836</t>
  </si>
  <si>
    <t>In the Linux kernel, the following vulnerability has been resolved:Bluetooth: L2CAP: Fix null-ptr-deref in l2cap_sock_get_sndtimeo_cb()Add the same NULL guard already present inl2cap_sock_resume_cb() and l2cap_sock_ready_cb().</t>
  </si>
  <si>
    <t>CVE-2026-45838</t>
  </si>
  <si>
    <t>In the Linux kernel, the following vulnerability has been resolved:bpf: fix end-of-list detection in cgroup_storage_get_next_key()list_next_entry() never returns NULL -- when the current element is thelast entry it wraps to the list head via container_of(). The subsequentNULL check is therefore dead code and get_next_key() never returns-ENOENT for the last element, instead reading storage-&gt;key from a boguspointer that aliases internal map fields and copying the result touserspace.Replace it with list_entry_is_head() so the function correctly returns-ENOENT when there are no more entries.</t>
  </si>
  <si>
    <t>CVE-2026-45840</t>
  </si>
  <si>
    <t>In the Linux kernel, the following vulnerability has been resolved:openvswitch: cap upcall PID array size and pre-size vport repliesThe vport netlink reply helpers allocate a fixed-size skb withnlmsg_new(NLMSG_DEFAULT_SIZE, ...) but serialize the full upcall PIDarray via ovs_vport_get_upcall_portids().  Sinceovs_vport_set_upcall_portids() accepts any non-zero multiple ofsizeof(u32) with no upper bound, a CAP_NET_ADMIN user can install a PIDarray large enough to overflow the reply buffer, causing nla_put() tofail with -EMSGSIZE and hitting BUG_ON(err &lt; 0).  On systems withunprivileged user namespaces enabled (e.g., Ubuntu default), this isreachable via unshare -Urn since OVS vport mutation operations useGENL_UNS_ADMIN_PERM. kernel BUG at net/openvswitch/datapath.c:2414! Oops: invalid opcode: 0000 [#1] SMP KASAN NOPTI CPU: 1 UID: 0 PID: 65 Comm: poc Not tainted 7.0.0-rc7-00195-geb216e422044#1 RIP: 0010:ovs_vport_cmd_set+0x34c/0x400 Call Trace:  &lt;TASK&gt;  genl_family_rcv_msg_doit (net/netlink/genetlink.c:1116)  genl_rcv_msg (net/netlink/genetlink.c:1194)  netlink_rcv_skb (net/netlink/af_netlink.c:2550)  genl_rcv (net/netlink/genetlink.c:1219)  netlink_unicast (net/netlink/af_netlink.c:1344)  netlink_sendmsg (net/netlink/af_netlink.c:1894)  __sys_sendto (net/socket.c:2206)  __x64_sys_sendto (net/socket.c:2209)  do_syscall_64 (arch/x86/entry/syscall_64.c:63)  entry_SYSCALL_64_after_hwframe (arch/x86/entry/entry_64.S:130)  &lt;/TASK&gt; Kernel panic - not syncing: Fatal exceptionReject attempts to set more PIDs than nr_cpu_ids inovs_vport_set_upcall_portids(), and pre-compute the worst-case replysize in ovs_vport_cmd_msg_size() based on that bound, similar to theexisting ovs_dp_cmd_msg_size().  nr_cpu_ids matches the cap alreadyused by the per-CPU dispatch configuration on the datapath side(ovs_dp_cmd_fill_info() serialises at most nr_cpu_ids PIDs), so thetwo sides stay consistent.</t>
  </si>
  <si>
    <t>CVE-2026-45841</t>
  </si>
  <si>
    <t>In the Linux kernel, the following vulnerability has been resolved:netfilter: nfnetlink_osf: fix divide-by-zero in OSF_WSS_MODULOnf_osf_match_one() computes ctx-&gt;window % f-&gt;wss.val in theOSF_WSS_MODULO branch with no guard for f-&gt;wss.val == 0. ACAP_NET_ADMIN user can add such a fingerprint via nfnetlink; asubsequent matching TCP SYN divides by zero and panics the kernel.Reject the bogus fingerprint in nfnl_osf_add_callback() above theper-option for-loop. f-&gt;wss is per-fingerprint, not per-option, sothe check must run regardless of f-&gt;opt_num (including 0). Alsoreject wss.wc &gt;= OSF_WSS_MAX; nf_osf_match_one() already treats thatas "should not happen".Crash: Oops: divide error: 0000 [#1] SMP KASAN NOPTI RIP: 0010:nf_osf_match_one (net/netfilter/nfnetlink_osf.c:98) Call Trace: &lt;IRQ&gt;  nf_osf_match (net/netfilter/nfnetlink_osf.c:220)  xt_osf_match_packet (net/netfilter/xt_osf.c:32)  ipt_do_table (net/ipv4/netfilter/ip_tables.c:348)  nf_hook_slow (net/netfilter/core.c:622)  ip_local_deliver (net/ipv4/ip_input.c:265)  ip_rcv (include/linux/skbuff.h:1162)  __netif_receive_skb_one_core (net/core/dev.c:6181)  process_backlog (net/core/dev.c:6642)  __napi_poll (net/core/dev.c:7710)  net_rx_action (net/core/dev.c:7945)  handle_softirqs (kernel/softirq.c:622)</t>
  </si>
  <si>
    <t>CVE-2026-45842</t>
  </si>
  <si>
    <t>In the Linux kernel, the following vulnerability has been resolved:slip: reject VJ receive packets on instances with no rstate arrayslhc_init() accepts rslots == 0 as a valid configuration, with thedocumented meaning of 'no receive compression'. In that case theallocation loop in slhc_init() is skipped, so comp-&gt;rstate staysNULL and comp-&gt;rslot_limit stays 0 (from the kzalloc of structslcompress).The receive helpers do not defend against that configuration.slhc_uncompress() dereferences comp-&gt;rstate[x] when the VJ headercarries an explicit connection ID, and slhc_remember() later assignscs = &amp;comp-&gt;rstate[...] after only comparing the packet's slot numberto comp-&gt;rslot_limit. Because rslot_limit is 0, slot 0 passes therange check, and the code dereferences a NULL rstate.The configuration is reachable in-tree through PPP. PPPIOCSMAXCIDstores its argument in a signed int, and (val &gt;&gt; 16) uses arithmeticshift. Passing 0xffff0000 therefore sign-extends to -1, so val2 + 1is 0 and ppp_generic.c ends up calling slhc_init(0, 1). Because/dev/ppp open is gated by ns_capable(CAP_NET_ADMIN), the whole pathis reachable from an unprivileged user namespace. Once the malformedVJ state is installed, any inbound VJ-compressed or VJ-uncompressedframe that selects slot 0 crashes the kernel in softirq context: Oops: general protection fault, probably for non-canonical       address 0xdffffc0000000000: 0000 [#1] SMP KASAN NOPTI KASAN: null-ptr-deref in range [0x0000000000000000-0x0000000000000007] RIP: 0010:slhc_uncompress (drivers/net/slip/slhc.c:519) Call Trace:  &lt;TASK&gt;  ppp_receive_nonmp_frame (drivers/net/ppp/ppp_generic.c:2466)  ppp_input (drivers/net/ppp/ppp_generic.c:2359)  ppp_async_process (drivers/net/ppp/ppp_async.c:492)  tasklet_action_common (kernel/softirq.c:926)  handle_softirqs (kernel/softirq.c:623)  run_ksoftirqd (kernel/softirq.c:1055)  smpboot_thread_fn (kernel/smpboot.c:160)  kthread (kernel/kthread.c:436)  ret_from_fork (arch/x86/kernel/process.c:164)  &lt;/TASK&gt;Reject the receive side on such instances instead of touching rstate.slhc_uncompress() falls through to its existing 'bad' label, whichbumps sls_i_error and enters the toss state. slhc_remember() mirrorsthat with an explicit sls_i_error increment followed by slhc_toss();the sls_i_runt counter is not used here because a missing rstate isan internal configuration state, not a runt packet.The transmit path is unaffected: the only in-tree caller that picksrslots from userspace (ppp_generic.c) still supplies tslots &gt;= 1, andslip.c always calls slhc_init(16, 16), so comp-&gt;tstate remains validand slhc_compress() continues to work.</t>
  </si>
  <si>
    <t>CVE-2026-45844</t>
  </si>
  <si>
    <t>In the Linux kernel, the following vulnerability has been resolved:netfilter: arp_tables: fix IEEE1394 ARP payload parsingWeiming Shi says:"arp_packet_match() unconditionally parses the ARP payload assuming twohardware addresses are present (source and target). However,IPv4-over-IEEE1394 ARP (RFC 2734) omits the target hardware addressfield, and arp_hdr_len() already accounts for this by returning ashorter length for ARPHRD_IEEE1394 devices.As a result, on IEEE1394 interfaces arp_packet_match() advances past anonexistent target hardware address and reads the wrong bytes for boththe target device address comparison and the target IP address. Thiscauses arptables rules to match against garbage data, leading toincorrect filtering decisions: packets that should be accepted may bedropped and vice versa.The ARP stack in net/ipv4/arp.c (arp_create and arp_process) alreadyhandles this correctly by skipping the target hardware address forARPHRD_IEEE1394. Apply the same pattern to arp_packet_match()."Mangle the original patch to always return 0 (no match) in case usermatches on the target hardware address which is never present inIEEE1394.Note that this returns 0 (no match) for either normal and inverse matchbecause matching in the target hardware address in ARPHRD_IEEE1394 hasnever been supported by arptables. This is intentional, matching on thetarget hardware address should never evaluate true for ARPHRD_IEEE1394.Moreover, adjust arpt_mangle to drop the packet too as AI suggests:In arpt_mangle, the logic assumes a standard ARP layout. BecauseIEEE1394 (FireWire) omits the target hardware address, the linearpointer arithmetic miscalculates the offset for the target IP address.This causes mangling operations to write to the wrong location, leadingto packet corruption. To ensure safety, this patch drops packets(NF_DROP) when mangling is requested for these fields on IEEE1394devices, as the current implementation cannot correctly map the FireWireARP payload.This omits both mangling target hardware and IP address. Even if IPaddress mangling should be possible in IEEE1394, this would requireto adjust arpt_mangle offset calculation, which has never beensupported.Based on patch from Weiming Shi &lt;bestswngs@gmail.com&gt;.</t>
  </si>
  <si>
    <t>CVE-2026-45845</t>
  </si>
  <si>
    <t>In the Linux kernel, the following vulnerability has been resolved:net/sched: taprio: fix NULL pointer dereference in class dumpWhen a TAPRIO child qdisc is deleted via RTM_DELQDISC, taprio_graft()is called with new == NULL and stores NULL into q-&gt;qdiscs[cl - 1].Subsequent RTM_GETTCLASS dump operations walk all classes viataprio_walk() and call taprio_dump_class(), which calls taprio_leaf()returning the NULL pointer, then dereferences it to read child-&gt;handle,causing a kernel NULL pointer dereference.The bug is reachable with namespace-scoped CAP_NET_ADMIN on any kernelwith CONFIG_NET_SCH_TAPRIO enabled. On systems with unprivileged usernamespaces enabled, an unprivileged local user can trigger a kernelpanic by creating a taprio qdisc inside a new network namespace,grafting an explicit child qdisc, deleting it, and requesting a classdump. The RTM_GETTCLASS dump itself requires no capability. Oops: general protection fault, probably for non-canonical address0xdffffc0000000007: 0000 [#1] SMP KASAN NOPTI KASAN: null-ptr-deref in range [0x0000000000000038-0x000000000000003f] RIP: 0010:taprio_dump_class (net/sched/sch_taprio.c:2478) Call Trace:  &lt;TASK&gt;  tc_fill_tclass (net/sched/sch_api.c:1966)  qdisc_class_dump (net/sched/sch_api.c:2326)  taprio_walk (net/sched/sch_taprio.c:2514)  tc_dump_tclass_qdisc (net/sched/sch_api.c:2352)  tc_dump_tclass_root (net/sched/sch_api.c:2370)  tc_dump_tclass (net/sched/sch_api.c:2431)  rtnl_dumpit (net/core/rtnetlink.c:6864)  netlink_dump (net/netlink/af_netlink.c:2325)  rtnetlink_rcv_msg (net/core/rtnetlink.c:6959)  netlink_rcv_skb (net/netlink/af_netlink.c:2550)  &lt;/TASK&gt;Fix this by substituting &amp;noop_qdisc when new is NULL intaprio_graft(), a common pattern used by other qdiscs (e.g.,multiq_graft()) to ensure the q-&gt;qdiscs[] slots are never NULL.This makes control-plane dump paths safe without requiring individualNULL checks.Since the data-plane paths (taprio_enqueue and taprio_dequeue_from_txq)previously had explicit NULL guards that would drop/skip the packetcleanly, update those checks to test for &amp;noop_qdisc instead. Withoutthis, packets would reach taprio_enqueue_one() which increments the rootqdisc's qlen and backlog before calling the child's enqueue; noop_qdiscdrops the packet but those counters are never rolled back, permanentlyinflating the root qdisc's statistics.After this change *old can be a valid qdisc, NULL, or &amp;noop_qdisc.Only call qdisc_put(*old) in the first case to avoid decreasingnoop_qdisc's refcount, which was never increased.</t>
  </si>
  <si>
    <t>CVE-2026-45846</t>
  </si>
  <si>
    <t>In the Linux kernel, the following vulnerability has been resolved:bareudp: fix NULL pointer dereference in bareudp_fill_metadata_dst()bareudp_fill_metadata_dst() passes bareudp-&gt;sock toudp_tunnel6_dst_lookup() in the IPv6 path without a NULL check.The socket is only created in bareudp_open() and NULLed inbareudp_stop(), so calling this function while the device is downtriggers a NULL dereference via sock-&gt;sk. BUG: kernel NULL pointer dereference, address: 0000000000000018 RIP: 0010:udp_tunnel6_dst_lookup (net/ipv6/ip6_udp_tunnel.c:160) Call Trace:  &lt;TASK&gt;  bareudp_fill_metadata_dst (drivers/net/bareudp.c:532)  do_execute_actions (net/openvswitch/actions.c:901)  ovs_execute_actions (net/openvswitch/actions.c:1589)  ovs_packet_cmd_execute (net/openvswitch/datapath.c:700)  genl_family_rcv_msg_doit (net/netlink/genetlink.c:1114)  genl_rcv_msg (net/netlink/genetlink.c:1209)  netlink_rcv_skb (net/netlink/af_netlink.c:2550)  &lt;/TASK&gt;Add a NULL check returning -ESHUTDOWN, consistent with the xmit pathsin the same driver.</t>
  </si>
  <si>
    <t>CVE-2026-46104</t>
  </si>
  <si>
    <t>In the Linux kernel, the following vulnerability has been resolved:selinux: use sk blob accessor in socket permission helpersSELinux socket state lives in the composite LSM socket blob.sock_has_perm() and nlmsg_sock_has_extended_perms() currentlydereference sk-&gt;sk_security directly, which assumes the SELinux socketblob is at offset zero.In stacked configurations that assumption does not hold. If another LSMallocates socket blob storage before SELinux, these helpers may read thewrong blob and feed invalid SID and class values into AVC checks.Use selinux_sock() instead of accessing sk-&gt;sk_security directly.</t>
  </si>
  <si>
    <t>CVE-2026-46106</t>
  </si>
  <si>
    <t>In the Linux kernel, the following vulnerability has been resolved:eventfs: Hold eventfs_mutex and SRCU when remount walks eventsCommit 340f0c7067a9 ("eventfs: Update all the eventfs_inodes from theevents descriptor") had eventfs_set_attrs() recurse through ei-&gt;childrenon remount.  The walk only holds the rcu_read_lock() taken bytracefs_apply_options() over tracefs_inodes, which is wrong:  - list_for_each_entry over ei-&gt;children races with the list_del_rcu()    in eventfs_remove_rec() -- LIST_POISON1 deref, same shape as    d2603279c7d6.  - eventfs_inodes are freed via call_srcu(&amp;eventfs_srcu, ...).    rcu_read_lock() does not extend an SRCU grace period, so ti-&gt;private    can be reclaimed under the walk.  - The writes to ei-&gt;attr race with eventfs_set_attr(), which holds    eventfs_mutex.Reproducer:  while :; do mount -o remount,uid=$((RANDOM%1000)) /sys/kernel/tracing;done &amp;  while :; do      echo "p:kp submit_bio" &gt; /sys/kernel/tracing/kprobe_events      echo &gt; /sys/kernel/tracing/kprobe_events  doneWrap the events portion of tracefs_apply_options() ineventfs_remount_lock()/_unlock() that take eventfs_mutex andsrcu_read_lock(&amp;eventfs_srcu).  eventfs_set_attrs() doesn't sleep so thenested rcu_read_lock() is fine; lockdep_assert_held() pins the contract.Comment in tracefs_drop_inode() said "RCU cycle" -- it is SRCU.</t>
  </si>
  <si>
    <t>CVE-2026-46108</t>
  </si>
  <si>
    <t>In the Linux kernel, the following vulnerability has been resolved:ipmi:si: Return state to normal if message allocation failsThere were places where nothing would get started if a messageallocation failed, so the driver needs to return to normal state.</t>
  </si>
  <si>
    <t>CVE-2026-46109</t>
  </si>
  <si>
    <t>In the Linux kernel, the following vulnerability has been resolved:usb: ulpi: fix memory leak on ulpi_register() error pathsCommit 01af542392b5 ("usb: ulpi: fix double free inulpi_register_interface() error path") removed kfree(ulpi) fromulpi_register_interface() to fix a double-free when device_register()fails.But when ulpi_of_register() or ulpi_read_id() fail beforedevice_register() is called, the ulpi allocation is leaked.Add kfree(ulpi) on both error paths to properly clean up the allocation.</t>
  </si>
  <si>
    <t>CVE-2026-46118</t>
  </si>
  <si>
    <t>In the Linux kernel, the following vulnerability has been resolved:pseries/papr-hvpipe: Fix null ptr deref in papr_hvpipe_dev_create_handle()commit 6d3789d347a7 ("papr-hvpipe: convert papr_hvpipe_dev_create_handle()to FD_PREPARE()"),changed the create handle to FD_PREPARE(), but it caused kernelnull-ptr-deref because after call to retain_and_null_ptr(src_info),src_info is re-used for adding it to the global list.Getting the following kernel panic in papr_hvpipe_dev_create_handle()when trying to add src_info to the list. Kernel attempted to write user page (0) - exploit attempt? (uid: 0) BUG: Kernel NULL pointer dereference on write at 0x00000000 Faulting instruction address: 0xc0000000001b44a0 Oops: Kernel access of bad area, sig: 11 [#1] ... Call Trace: papr_hvpipe_dev_ioctl+0x1f4/0x48c (unreliable) sys_ioctl+0x528/0x1064 system_call_exception+0x128/0x360 system_call_vectored_common+0x15c/0x2ecNow, the error handling with FD_PREPARE's file cleanup and __free(kfree)autocleanup is getting too convoluted. This is mainly because we need toensure only 1 user get the srcID handle. To simplify this, we allocateprepare the src_info in the beginning and add it to the global listunder a spinlock after checking that no duplicates exist.This simplify the error handling where if the FD_ADD fails, we cansimply remove the src_info from the list and consume any pending msg inhvpipe to be cleared, after src_info became visible in the global list.</t>
  </si>
  <si>
    <t>CVE-2026-46126</t>
  </si>
  <si>
    <t>In the Linux kernel, the following vulnerability has been resolved:RDMA/mana: Fix mana_destroy_wq_obj() cleanup in mana_ib_create_qp_rss()Sashiko points out there are two bugs here in the error unwind flow, bothrelated to how the WQ table is unwound.First there is a double i-- on the first failure path due to the while loophaving a i--, remove it.Second if mana_ib_install_cq_cb() fails then mana_create_wq_obj() is notundone due to the above i--.</t>
  </si>
  <si>
    <t>CVE-2026-46127</t>
  </si>
  <si>
    <t>In the Linux kernel, the following vulnerability has been resolved:RDMA/ocrdma: Don't NULL deref uctx on errors in ocrdma_copy_pd_uresp()Sashiko points out that pd-&gt;uctx isn't initialized until late in thefunction so all these error flow references are NULL and will crash. Usethe uctx that isn't NULL.</t>
  </si>
  <si>
    <t>CVE-2026-46128</t>
  </si>
  <si>
    <t>In the Linux kernel, the following vulnerability has been resolved:ipmi: Check event message buffer response for bad dataThe event message buffer response data size got checked later whenprocessing, but check it right after the response comes back.  Itappears some BMCs may return an empty message instead of an errorwhen fetching events.There are apparently some new BMCs that make this error, so we need tocompensate.</t>
  </si>
  <si>
    <t>CVE-2026-46131</t>
  </si>
  <si>
    <t>In the Linux kernel, the following vulnerability has been resolved:KVM: x86: check for nEPT/nNPT in slow flush hypercallsChecking is_guest_mode(vcpu) is incorrect, because translate_nested_gpa()is only valid if an L2 guest is running *with nested EPT/NPT enabled*.Instead use the same condition as translate_nested_gpa() itself.</t>
  </si>
  <si>
    <t>CVE-2026-46132</t>
  </si>
  <si>
    <t>In the Linux kernel, the following vulnerability has been resolved:net: rtnetlink: zero ifla_vf_broadcast to avoid stack infoleak inrtnl_fill_vfinfortnl_fill_vfinfo() declares struct ifla_vf_broadcast on the stackwithout initialisation:struct ifla_vf_broadcast vf_broadcast;The struct contains a single fixed 32-byte field:/* include/uapi/linux/if_link.h */struct ifla_vf_broadcast {__u8 broadcast[32];};The function then copies dev-&gt;broadcast into it using dev-&gt;addr_lenas the length:memcpy(vf_broadcast.broadcast, dev-&gt;broadcast, dev-&gt;addr_len);On Ethernet devices (the overwhelming majority of SR-IOV NICs)dev-&gt;addr_len is 6, so only the first 6 bytes of broadcast[] arewritten. The remaining 26 bytes retain whatever was previously onthe kernel stack. The full struct is then handed to userspace via:nla_put(skb, IFLA_VF_BROADCAST,sizeof(vf_broadcast), &amp;vf_broadcast)leaking up to 26 bytes of uninitialised kernel stack per VF perRTM_GETLINK request, repeatable.The other vf_* structs in the same function are explicitly zeroedfor exactly this reason - see the memset() calls for ivi,vf_vlan_info, node_guid and port_guid a few lines above.vf_broadcast was simply missed when it was added.Reachability: any unprivileged local process can open AF_NETLINK /NETLINK_ROUTE without capabilities and send RTM_GETLINK with anIFLA_EXT_MASK attribute carrying RTEXT_FILTER_VF. The kernel walkseach VF and emits IFLA_VF_BROADCAST, leaking 26 bytes of stack perVF per request. Stack residue at this call site can include returnaddresses and transient sensitive data; KASAN with stackinstrumentation, or KMSAN, will flag the nla_put() when reproduced.Zero the on-stack struct before the partial memcpy, matching theexisting pattern used for the other vf_* structs in the samefunction.</t>
  </si>
  <si>
    <t>CVE-2026-46134</t>
  </si>
  <si>
    <t>In the Linux kernel, the following vulnerability has been resolved:platform/chrome: cros_ec_typec: Init mutex in Thunderbolt registrationcros_typec_register_thunderbolt() missed initializing the `adata-&gt;lock`mutex.  This leads to a NULL dereference when the mutex is lateracquired (e.g. in cros_typec_altmode_work()).Initialize the mutex in cros_typec_register_thunderbolt() to fix theissue.</t>
  </si>
  <si>
    <t>CVE-2026-46139</t>
  </si>
  <si>
    <t>In the Linux kernel, the following vulnerability has been resolved:smb: client: use kzalloc to zero-initialize security descriptor bufferCommit 62e7dd0a39c2d ("smb: common: change the data type of num_acesto le16") split struct smb_acl's __le32 num_aces field into __le16num_aces and __le16 reserved. The reserved field corresponds to Sbz2in the MS-DTYP ACL wire format, which must be zero [1].When building an ACL descriptor in build_sec_desc(), we are using akmalloc()'ed descriptor buffer and writing the fields explicitly usingle16() writes now. This never writes to the 2 byte reserved field,leaving it as uninitialized heap data.When the reserved field happens to contain non-zero slab garbage,Samba rejects the security descriptor with "ndr_pull_security_descriptorfailed: Range Error", causing chmod to fail with EINVAL.Change kmalloc() to kzalloc() to ensure the entire buffer iszero-initialized.[1]https://learn.microsoft.com/en-us/openspecs/windows_protocols/ms-dtyp/20233ed8-a6c6-4097-aafa-dd545ed24428</t>
  </si>
  <si>
    <t>CVE-2026-46141</t>
  </si>
  <si>
    <t>In the Linux kernel, the following vulnerability has been resolved:powerpc/xive: fix kmemleak caused by incorrect chip_data lookupThe kmemleak reports the following memory leak:Unreferenced object 0xc0000002a7fbc640 (size 64):  comm "kworker/8:1", pid 540, jiffies 4294937872  hex dump (first 32 bytes):    01 00 00 00 00 00 00 00 00 00 09 04 00 04 00 00  ................    00 00 a7 81 00 00 0a c0 00 00 08 04 00 04 00 00  ................  backtrace (crc 177d48f6):    __kmalloc_cache_noprof+0x520/0x730    xive_irq_alloc_data.constprop.0+0x40/0xe0    xive_irq_domain_alloc+0xd0/0x1b0    irq_domain_alloc_irqs_parent+0x44/0x6c    pseries_irq_domain_alloc+0x1cc/0x354    irq_domain_alloc_irqs_parent+0x44/0x6c    msi_domain_alloc+0xb0/0x220    irq_domain_alloc_irqs_locked+0x138/0x4d0    __irq_domain_alloc_irqs+0x8c/0xfc    __msi_domain_alloc_irqs+0x214/0x4d8    msi_domain_alloc_irqs_all_locked+0x70/0xf8    pci_msi_setup_msi_irqs+0x60/0x78    __pci_enable_msix_range+0x54c/0x98c    pci_alloc_irq_vectors_affinity+0x16c/0x1d4    nvme_pci_enable+0xac/0x9c0 [nvme]    nvme_probe+0x340/0x764 [nvme]This occurs when allocating MSI-X vectors for an NVMe device. Duringallocation the XIVE code creates a struct xive_irq_data and stores itin irq_data-&gt;chip_data.When the MSI-X irqdomain is later freed, xive_irq_free_data() isresponsible for retrieving this structure and freeing it. However,after commit cc0cc23babc9 ("powerpc/xive: Untangle xive from childinterrupt controller drivers"), xive_irq_free_data() retrieves thechip_data using irq_get_chip_data(), which looks up the data throughthe child domain.This is incorrect because the XIVE-specific irq data is associated withthe XIVE (parent) domain. As a result the lookup fails and the allocatedstruct xive_irq_data is never freed, leading to the kmemleak reportshown above.Fix this by retrieving the irq_data from the correct domain usingirq_domain_get_irq_data() and then accessing the chip_data viairq_data_get_irq_chip_data().</t>
  </si>
  <si>
    <t>CVE-2026-46142</t>
  </si>
  <si>
    <t>In the Linux kernel, the following vulnerability has been resolved:net: libwx: fix VF illegal register accessRegister WX_CFG_PORT_ST is a PF restricted register. When a VF isinitialized, attempting to read this register triggers an illegalregister access, which lead to a system hang.When the device is VF, the bus function ID can be obtained directly fromthe PCI_FUNC(pdev-&gt;devfn).</t>
  </si>
  <si>
    <t>CVE-2026-46143</t>
  </si>
  <si>
    <t>In the Linux kernel, the following vulnerability has been resolved:ASoC: qcom: q6apm-lpass-dai: Fix multiple graph opensAs prepare can be called mulitple times, this can result in multiplegraph opens for playback path.This will result in a memory leaks, fix this by adding a check beforeopening.</t>
  </si>
  <si>
    <t>CVE-2026-46144</t>
  </si>
  <si>
    <t>In the Linux kernel, the following vulnerability has been resolved:RDMA/mana: Fix error unwind in mana_ib_create_qp_rss()Sashiko points out that mana_ib_cfg_vport_steering() is leaked, the normaldestroy path cleans it up.</t>
  </si>
  <si>
    <t>CVE-2026-46146</t>
  </si>
  <si>
    <t>In the Linux kernel, the following vulnerability has been resolved:ALSA: usb-audio: Avoid potential endless loop in convert_chmap_v3()The convert_chmap_v3() has a loop with its increment size ofcs_desc-&gt;wLength, but we forgot to validate cs_desc-&gt;wLength itself,which may lead to potential endless loop by a malformed descriptor.Add a proper size check to abort the loop for plugging the hole.</t>
  </si>
  <si>
    <t>CVE-2026-46147</t>
  </si>
  <si>
    <t>In the Linux kernel, the following vulnerability has been resolved:KVM: arm64: Fix pin leak and publication ordering in __pkvm_init_vcpu()Two bugs exist in the vCPU initialisation path:1. If a check fails after hyp_pin_shared_mem() succeeds, the cleanup   path jumps to 'unlock' without calling unpin_host_vcpu() or   unpin_host_sve_state(), permanently leaking pin references on the   host vCPU and SVE state pages.   Extract a register_hyp_vcpu() helper that performs the checks and   the store. When register_hyp_vcpu() returns an error, call   unpin_host_vcpu() and unpin_host_sve_state() inline before falling   through to the existing 'unlock' label.2. register_hyp_vcpu() publishes the new vCPU pointer into   'hyp_vm-&gt;vcpus[]' with a bare store, allowing a concurrent caller   of pkvm_load_hyp_vcpu() to observe a partially initialised vCPU   object.   Ensure the store uses smp_store_release() and the load uses   smp_load_acquire(). While 'vm_table_lock' currently serialises the   store and the load, these barriers ensure the reader sees the fully   initialised 'hyp_vcpu' object even if there were a lockless path or   if the lock's own ordering guarantees were insufficient for nested   object initialization.</t>
  </si>
  <si>
    <t>CVE-2026-46148</t>
  </si>
  <si>
    <t>In the Linux kernel, the following vulnerability has been resolved:spi: microchip-core-qspi: control built-in cs manuallyThe coreQSPI IP supports only a single chip select, which isautomagically operated by the hardware - set low when the transmitbuffer first gets written to and set high when the number of byteswritten to the TOTALBYTES field of the FRAMES register have been sent onthe bus. Additional devices must use GPIOs for their chip selects.It was reported to me that if there are two devices attached to thisQSPI controller that the in-built chip select is set low while linuxtries to access the device attached to the GPIO.This went undetected as the boards that connected multiple devices tothe SPI controller all exclusively used GPIOs for chip selects, notrelying on the built-in chip select at all. It turns out that this wasbecause the built-in chip select, when controlled automagically, is setlow when active and high when inactive, thereby ruling out its use foractive-high devices or devices that need to transmit with the chipselect disabled.Modify the driver so that it controls chip select directly, retainingthe behaviour for mem_ops of setting the chip select active for theentire duration of the transfer in the exec_op callback. For regulartransfers, implement the set_cs callback for the core to use.As part of this, the existing setup callback, mchp_coreqspi_setup_op(),is removed. Modifying the CLKIDLE field is not safe to do duringoperation when there are multiple devices, so this code is removedentirely. Setting the MASTER and ENABLE fields is something that can bedone once at probe, it doesn't need to be re-run for each device.Instead the new setup callback sets the built-in chip select to itsinactive state for active-low devices, as the reset value of the chipselect in software controlled mode is low.</t>
  </si>
  <si>
    <t>CVE-2026-46151</t>
  </si>
  <si>
    <t>In the Linux kernel, the following vulnerability has been resolved:usb: usblp: fix heap leak in IEEE 1284 device ID via short responseusblp_ctrl_msg() collapses the usb_control_msg() return value to0/-errno, discarding the actual number of bytes transferred.  A brokenprinter can complete the GET_DEVICE_ID control transfer short and thedriver has no way to know.usblp_cache_device_id_string() reads the 2-byte big-endian length prefixfrom the response and trusts it (clamped only to the buffer bounds).The buffer is kmalloc(1024) at probe time. A device that sends exactlytwo bytes (e.g. 0x03 0xFF, claiming a 1023-byte ID) leavesdevice_id_string[2..1022] holding stale kmalloc heap.That stale data is then exposed:  - via the ieee1284_id sysfs attribute (sprintf("%s", buf+2), truncated    at the first NUL in the stale heap), and  - via the IOCNR_GET_DEVICE_ID ioctl, which copy_to_user()s the full    claimed length regardless of NULs, up to 1021 bytes of uninitialized    heap, with the leak size chosen by the device.Fix this up by just zapping the buffer with zeros before each requestsent to the device.</t>
  </si>
  <si>
    <t>CVE-2026-46153</t>
  </si>
  <si>
    <t>In the Linux kernel, the following vulnerability has been resolved:8021q: delete cleared egress QoS mappingsvlan_dev_set_egress_priority() currently keeps cleared egresspriority mappings in the hash as tombstones. Repeated set/clear cycleswith distinct skb priorities therefore accumulate mapping nodes untildevice teardown and leak memory.Delete mappings when vlan_prio is cleared instead of keeping tombstones.Now that the egress mapping lists are RCU protected, the node can beunlinked safely and freed after a grace period.</t>
  </si>
  <si>
    <t>CVE-2026-46156</t>
  </si>
  <si>
    <t>In the Linux kernel, the following vulnerability has been resolved:LoongArch: Fix potential ADE in loongson_gpu_fixup_dma_hang()The switch case in loongson_gpu_fixup_dma_hang() may not DC2 or DC3, andreadl(crtc_reg) will access with random address, because the "device" isfrom "base+PCI_DEVICE_ID", "base" is from "pdev-&gt;devfn+1". This is wrongwhen my platform inserts a discrete GPU:lspci -tv-[0000:00]-+-00.0  Loongson Technology LLC Hyper Transport BridgeController...           +-06.0  Loongson Technology LLC LG100 GPU           +-06.2  Loongson Technology LLC Device 7a37...Add a default switch case to fix the panic as below: Kernel ade access[#1]: CPU: 0 PID: 1 Comm: swapper/0 Not tainted 6.6.136-loong64-desktop-hwe+ #4 pc 90000000017e5534 ra 90000000017e54c0 tp 90000001002f8000 sp90000001002fb6c0 a0 80000efe00003100 a1 0000000000003100 a2 0000000000000000 a30000000000000002 a4 90000001002fb6b4 a5 900000087cdb58fd a6 90000000027af000 a70000000000000001 t0 00000000000085b9 t1 000000000000ffff t2 0000000000000000 t30000000000000000 t4 fffffffffffffffd t5 00000000fffb6d9c t6 0000000000083b00 t700000000000070c0 t8 900000087cdb4d94 u0 900000087cdb58fd s9 90000001002fb826 s090000000031c12c8 s1 7fffffffffffff00 s2 90000000031c12d0 s3 0000000000002710 s40000000000000000 s5 0000000000000000 s6 9000000100053000 s7 7fffffffffffff00 s890000000030d4000    ra: 90000000017e54c0 loongson_gpu_fixup_dma_hang+0x40/0x210   ERA: 90000000017e5534 loongson_gpu_fixup_dma_hang+0xb4/0x210  CRMD: 000000b0 (PLV0 -IE -DA +PG DACF=CC DACM=CC -WE)  PRMD: 00000004 (PPLV0 +PIE -PWE)  EUEN: 00000000 (-FPE -SXE -ASXE -BTE)  ECFG: 00071c1d (LIE=0,2-4,10-12 VS=7) ESTAT: 00480000 [ADEM] (IS= ECode=8 EsubCode=1)  BADV: 7fffffffffffff00  PRID: 0014d000 (Loongson-64bit, Loongson-3A6000-HV) Modules linked in: Process swapper/0 (pid: 1, threadinfo=(____ptrval____),task=(____ptrval____)) Stack : 0000000000000006 90000001002fb778 90000001002fb7040000000000000007         0000000016a65700 90000000017e5690 000000000000ffffffffffffffffffff         900000000209f7c0 9000000100053000 900000000209f7a89000000000eebc08         0000000000000000 0000000000000000 000000000000000690000001002fb778         90000001000530b8 90000000027af000 00000000000000009000000100054000         9000000100053000 9000000000ebb70c 9000000100004c009000000004000001         90000001002fb7e4 bae765461f31cb12 00000000000000000000000000000000         0000000000000006 90000000027af000 000000000000003090000000027af000         900000087cd6f800 9000000100053000 00000000000000009000000000ebc560         7a2500147cdaf720 bae765461f31cb12 00000000000000010000000000000030         ... Call Trace: [&lt;90000000017e5534&gt;] loongson_gpu_fixup_dma_hang+0xb4/0x210 [&lt;9000000000eebc08&gt;] pci_fixup_device+0x108/0x280 [&lt;9000000000ebb70c&gt;] pci_setup_device+0x24c/0x690 [&lt;9000000000ebc560&gt;] pci_scan_single_device+0xe0/0x140 [&lt;9000000000ebc684&gt;] pci_scan_slot+0xc4/0x280 [&lt;9000000000ebdd00&gt;] pci_scan_child_bus_extend+0x60/0x3f0 [&lt;9000000000f5bc94&gt;] acpi_pci_root_create+0x2b4/0x420 [&lt;90000000017e5e74&gt;] pci_acpi_scan_root+0x2d4/0x440 [&lt;9000000000f5b02c&gt;] acpi_pci_root_add+0x21c/0x3a0 [&lt;9000000000f4ee54&gt;] acpi_bus_attach+0x1a4/0x3c0 [&lt;90000000010e200c&gt;] device_for_each_child+0x6c/0xe0 [&lt;9000000000f4bbf4&gt;] acpi_dev_for_each_child+0x44/0x70 [&lt;9000000000f4ef40&gt;] acpi_bus_attach+0x290/0x3c0 [&lt;90000000010e200c&gt;] device_for_each_child+0x6c/0xe0 [&lt;9000000000f4bbf4&gt;] acpi_dev_for_each_child+0x44/0x70 [&lt;9000000000f4ef40&gt;] acpi_bus_attach+0x290/0x3c0 [&lt;9000000000f5211c&gt;] acpi_bus_scan+0x6c/0x280 [&lt;900000000189c028&gt;] acpi_scan_init+0x194/0x310 [&lt;900000000189bc6c&gt;] acpi_init+0xcc/0x140 [&lt;9000000000220cdc&gt;] do_one_initcall+0x4c/0x310 [&lt;90000000018618fc&gt;] kernel_init_freeable+0x258/0x2d4 [&lt;900000000184326c&gt;] kernel_init+0x28/0x13c [&lt;9000000000222008&gt;] ret_from_kernel_thread+0xc/0xa4</t>
  </si>
  <si>
    <t>CVE-2026-46158</t>
  </si>
  <si>
    <t>In the Linux kernel, the following vulnerability has been resolved:mptcp: pm: ADD_ADDR rtx: always decrease sk refcountWhen an ADD_ADDR is retransmitted, the sk is held in sk_reset_timer().It should then be released in all cases at the end.Some (unlikely) checks were returning directly instead of callingsock_put() to decrease the refcount. Jump to a new 'exit' label to call__sock_put() (which will become sock_put() in the next commit) to fixthis potential leak.While at it, drop the '!msk' check which cannot happen because it isnever reset, and explicitly mark the remaining one as "unlikely".</t>
  </si>
  <si>
    <t>CVE-2026-46159</t>
  </si>
  <si>
    <t>In the Linux kernel, the following vulnerability has been resolved:btrfs: fix btrfs_ioctl_space_info() slot_count TOCTOU which can lead toinfo-leakbtrfs_ioctl_space_info() has a TOCTOU race between two passes over theblock group RAID type lists. The first pass counts entries to determinethe allocation size, then the second pass fills the buffer. Thegroups_sem rwlock is released between passes, allowing concurrent blockgroup removal to reduce the entry count.When the second pass fills fewer entries than the first pass counted,copy_to_user() copies the full alloc_size bytes including trailinguninitialized kmalloc bytes to userspace.Fix by copying only total_spaces entries (the actually-filled count fromthe second pass) instead of alloc_size bytes, and switch to kzalloc soany future copy size mismatch cannot leak heap data.</t>
  </si>
  <si>
    <t>CVE-2026-46160</t>
  </si>
  <si>
    <t>In the Linux kernel, the following vulnerability has been resolved:btrfs: fix missing last_unlink_trans update when removing a directoryWhen removing a directory we are not updating its last_unlink_trans field,which can result in incorrect fsync behaviour in case some one fsyncs thedirectory after it was removed because it's holding a file descriptor onit.Example scenario:   mkdir /mnt/dir1   mkdir /mnt/dir1/dir2   mkdir /mnt/dir3   sync -f /mnt   # Do some change to the directory and fsync it.   chmod 700 /mnt/dir1   xfs_io -c fsync /mnt/dir1   # Move dir2 out of dir1 so that dir1 becomes empty.   mv /mnt/dir1/dir2 /mnt/dir3/   open fd on /mnt/dir1   call rmdir(2) on path "/mnt/dir1"   fsync fd   &lt;trigger power failure&gt;When attempting to mount the filesystem, the log replay will fail withan -EIO error and dmesg/syslog has the following:   [445771.626482] BTRFS info (device dm-0): first mount of filesystem0368bbea-6c5e-44b5-b409-09abe496e650   [445771.626486] BTRFS info (device dm-0): using crc32c checksumalgorithm   [445771.627912] BTRFS info (device dm-0): start tree-log replay   [445771.628335] page: refcount:2 mapcount:0 mapping:0000000061443ddcindex:0x1d00 pfn:0x7072a5   [445771.629453] memcg:ffff89f400351b00   [445771.629892] aops:btree_aops [btrfs] ino:1   [445771.630737] flags:0x17fffc00000402a(uptodate|lru|private|writeback|node=0|zone=2|lastcpupid=0x1ffff)   [445771.632359] raw: 017fffc00000402a fffff47284d950c8 fffff472907b7c08ffff89f458e412b8   [445771.633713] raw: 0000000000001d00 ffff89f6c51d1a90 00000002ffffffffffff89f400351b00   [445771.635029] page dumped because: eb page dump   [445771.635825] BTRFS critical (device dm-0): corrupt leaf: root=5block=30408704 slot=10 ino=258, invalid nlink: has 2 expect no more than 1for dir   [445771.638088] BTRFS info (device dm-0): leaf 30408704 gen 10 totalptrs 17 free space 14878 owner 5   [445771.638091] BTRFS info (device dm-0): refs 4 lock_owner 0 current3581087   [445771.638094] item 0 key (256 INODE_ITEM 0) itemoff 16123 itemsize160   [445771.638097] inode generation 3 transid 9 size 16 nbytes 16384   [445771.638098] block group 0 mode 40755 links 1 uid 0 gid 0   [445771.638100] rdev 0 sequence 2 flags 0x0   [445771.638102] atime 1775744884.0   [445771.660056] ctime 1775744885.645502983   [445771.660058] mtime 1775744885.645502983   [445771.660060] otime 1775744884.0   [445771.660062] item 1 key (256 INODE_REF 256) itemoff 16111 itemsize12   [445771.660064] index 0 name_len 2   [445771.660066] item 2 key (256 DIR_ITEM 1843588421) itemoff 16077itemsize 34   [445771.660068] location key (259 1 0) type 2   [445771.660070] transid 9 data_len 0 name_len 4   [445771.660075] item 3 key (256 DIR_ITEM 2363071922) itemoff 16043itemsize 34   [445771.660076] location key (257 1 0) type 2   [445771.660077] transid 9 data_len 0 name_len 4   [445771.660078] item 4 key (256 DIR_INDEX 2) itemoff 16009 itemsize 34   [445771.660079] location key (257 1 0) type 2   [445771.660080] transid 9 data_len 0 name_len 4   [445771.660081] item 5 key (256 DIR_INDEX 3) itemoff 15975 itemsize 34   [445771.660082] location key (259 1 0) type 2   [445771.660083] transid 9 data_len 0 name_len 4   [445771.660084] item 6 key (257 INODE_ITEM 0) itemoff 15815 itemsize160   [445771.660086] inode generation 9 transid 9 size 8 nbytes 0   [445771.660087] block group 0 mode 40777 links 1 uid 0 gid 0   [445771.660088] rdev 0 sequence 2 flags 0x0   [445771.660089] atime 1775744885.641174097   [445771.660090] ctime 1775744885.645502983   [445771.660091] mtime 1775744885.645502983   [445771.660105] otime 1775744885.641174097   [445771.660106] item 7 key (257 INODE_REF 256) itemoff 15801 itemsize14   [445771.660107] index 2 name_len 4   [445771.660108] item 8 key (257 DIR_ITEM 2676584006) itemoff 15767itemsize 34   [445771.660109] location key (2---truncated---</t>
  </si>
  <si>
    <t>CVE-2026-46161</t>
  </si>
  <si>
    <t>In the Linux kernel, the following vulnerability has been resolved:md/raid10: fix divide-by-zero in setup_geo() with zero far_copiessetup_geo() extracts near_copies (nc) and far_copies (fc) from theuser-provided layout parameter without checking for zero. When fc=0with the "improved" far set layout selected, 'geo-&gt;far_set_size =disks / fc' triggers a divide-by-zero.Validate nc and fc immediately after extraction, returning -1 ifeither is zero.</t>
  </si>
  <si>
    <t>CVE-2026-46165</t>
  </si>
  <si>
    <t>In the Linux kernel, the following vulnerability has been resolved:openvswitch: vport: fix self-deadlock on release of tunnel portsvports are used concurrently and protected by RCU, so netdev_put()must happen after the RCU grace period.  So, either in an RCU call orafter the synchronize_net().  The rtnl_delete_link() must happen underRTNL and so can't be executed in RCU context.  Calling synchronize_net()while holding RTNL is not a good idea for performance and systemstability under load in general, so calling netdev_put() in RCU callis the right solution here.However,when the device is deleted, rtnl_unlock() will call netdev_run_todo()and block until all the references are gone.  In the current code thismeans that we never reach the call_rcu() and the vport is never freedand the reference is never released, causing a self-deadlock on deviceremoval.Fix that by moving the rcu_call() before the rtnl_unlock(), so thescheduled RCU callback will be executed when synchronize_net() iscalled from the rtnl_unlock()-&gt;netdev_run_todo() while the RTNL itselfis already released.</t>
  </si>
  <si>
    <t>CVE-2026-46167</t>
  </si>
  <si>
    <t>In the Linux kernel, the following vulnerability has been resolved:usb: usblp: fix uninitialized heap leak via LPGETSTATUS ioctlJust like in a previous problem in this driver, usblp_ctrl_msg() willcollapse the usb_control_msg() return value to 0/-errno, discarding theactual number of bytes transferred.Ideally that short command should be detected and error out, but manyprinters are known to send "incorrect" responses back so we can't justdo that.statusbuf is kmalloc(8) at probe time and never filled before the firstLPGETSTATUS ioctl.usblp_read_status() requests 1 byte. If a malicious printer respondswith zero bytes, *statusbuf is one byte of stale kmalloc heap,sign-extended into the local int status, which the LPGETSTATUS path thencopy_to_user()s directly to the ioctl caller.Fix this all by just zapping out the memory buffer when allocated atprobe time.  If a later call does a short read, the data will beidentical to what the device sent it the last time, so there is no"leak" of information happening.</t>
  </si>
  <si>
    <t>CVE-2026-46168</t>
  </si>
  <si>
    <t>In the Linux kernel, the following vulnerability has been resolved:mptcp: fix scheduling with atomic in timestamp sockoptUsing lock_sock_fast() (atomic context) around sock_set_timestamp()and sock_set_timestamping() is unsafe, as both helpers can sleep.Replace lock_sock_fast() with sleepable lock_sock()/release_sock()to avoid scheduling while atomic panic.</t>
  </si>
  <si>
    <t>CVE-2026-46169</t>
  </si>
  <si>
    <t>In the Linux kernel, the following vulnerability has been resolved:hfsplus: fix uninit-value by validating catalog record sizeSyzbot reported a KMSAN uninit-value issue in hfsplus_strcasecmp(). Theroot cause is that hfs_brec_read() doesn't validate that the on-diskrecord size matches the expected size for the record type being read.When mounting a corrupted filesystem, hfs_brec_read() may read less datathan expected. For example, when reading a catalog thread record, thedebug output showed:  HFSPLUS_BREC_READ: rec_len=520, fd-&gt;entrylength=26  HFSPLUS_BREC_READ: WARNING - entrylength (26) &lt; rec_len (520) - PARTIALREAD!hfs_brec_read() only validates that entrylength is not greater than thebuffer size, but doesn't check if it's less than expected. It successfullyreads 26 bytes into a 520-byte structure and returns success, leaving 494bytes uninitialized.This uninitialized data in tmp.thread.nodeName then gets copied byhfsplus_cat_build_key_uni() and used by hfsplus_strcasecmp(), triggeringthe KMSAN warning when the uninitialized bytes are used as array indicesin case_fold().Fix by introducing hfsplus_brec_read_cat() wrapper that:1. Calls hfs_brec_read() to read the data2. Validates the record size based on the type field:   - Fixed size for folder and file records   - Variable size for thread records (depends on string length)3. Returns -EIO if size doesn't match expectedFor thread records, check against HFSPLUS_MIN_THREAD_SZ before readingnodeName.length to avoid reading uninitialized data at call sites thatdon't zero-initialize the entry structure.Also initialize the tmp variable in hfsplus_find_cat() as defensiveprogramming to ensure no uninitialized data even if validation isbypassed.</t>
  </si>
  <si>
    <t>CVE-2026-46170</t>
  </si>
  <si>
    <t>In the Linux kernel, the following vulnerability has been resolved:mptcp: pm: ADD_ADDR rtx: free sk if lastWhen an ADD_ADDR is retransmitted, the sk is held in sk_reset_timer(),and released at the end.If at that moment, it was the last reference being held, the sk wouldnot be freed. sock_put() should then be called instead of __sock_put().But that's not enough: if it is the last reference, sock_put() will callsk_free(), which will end up calling sk_stop_timer_sync() on the sametimer, and waiting indefinitely to finish. So it is needed to mark thatthe timer is done at the end of the timer handler when it has not beenrescheduled, not to call sk_stop_timer_sync() on "itself".</t>
  </si>
  <si>
    <t>CVE-2026-46171</t>
  </si>
  <si>
    <t>In the Linux kernel, the following vulnerability has been resolved:riscv: kvm: fix vector context allocation leakWhen the second kzalloc (host_context.vector.datap) fails inkvm_riscv_vcpu_alloc_vector_context, the first allocation(guest_context.vector.datap) is leaked. Free it before returning.</t>
  </si>
  <si>
    <t>CVE-2026-46172</t>
  </si>
  <si>
    <t>In the Linux kernel, the following vulnerability has been resolved:ipv6: xfrm6: release dst on error in xfrm6_rcv_encap()xfrm6_rcv_encap() performs an IPv6 route lookup when the skb does notalready have a dst attached. ip6_route_input_lookup() returns areferenced dst entry even when the lookup resolves to an error route.If dst-&gt;error is set, xfrm6_rcv_encap() drops the skb without attachingthe dst to the skb and without releasing the reference returned by thelookup. Repeated packets hitting this path therefore leak dst entries.Release the dst before jumping to the drop path.</t>
  </si>
  <si>
    <t>CVE-2026-46179</t>
  </si>
  <si>
    <t>In the Linux kernel, the following vulnerability has been resolved:ASoC: SOF: Don't allow pointer operations on unconfigured streamsWhen reporting the pointer for a compressed stream we report the currentI/O frame position by dividing the position by the number of channelsmultiplied by the number of container bytes. These values default to 0 andare only configured as part of setting the stream parameters so this allowsa divide by zero to be configured. Validate that they are non zero,returning an error if not</t>
  </si>
  <si>
    <t>CVE-2026-46182</t>
  </si>
  <si>
    <t>In the Linux kernel, the following vulnerability has been resolved:pseries/papr-hvpipe: Prevent kernel stack memory leak to userspaceThe hdr variable is allocated on the stack and only hdr.version andhdr.flags are initialized explicitly. Because the struct papr_hvpipe_hdrcontains reserved padding bytes (reserved[3] and reserved2[40]), thesecould leak the uninitialized bytes to userspace after copy_to_user().This patch fixes that by initializing the whole struct to 0.</t>
  </si>
  <si>
    <t>CVE-2026-46184</t>
  </si>
  <si>
    <t>In the Linux kernel, the following vulnerability has been resolved:sound: ua101: fix division by zero at probeAdd a missing sanity check for bNrChannels in detect_usb_format()to prevent a division by zero in playback_urb_complete() andcapture_urb_complete().USB core does not validate class-specific descriptor fields suchas bNrChannels, so drivers must verify them before use. If adevice provides bNrChannels = 0, frame_bytes becomes zero and islater used as a divisor in the URB completion handlers, leadingto a kernel crash.</t>
  </si>
  <si>
    <t>CVE-2026-46186</t>
  </si>
  <si>
    <t>In the Linux kernel, the following vulnerability has been resolved:Bluetooth: virtio_bt: validate rx pkt_type header lengthvirtbt_rx_handle() reads the leading pkt_type byte from the RX skband forwards the remainder to hci_recv_frame() for everyevent/ACL/SCO/ISO type, without checking that the remaining payloadis at least the fixed HCI header for that type.After the preceding patch bounds the backend-supplied used.len to[1, VIRTBT_RX_BUF_SIZE], a one-byte completion still reacheshci_recv_frame() with skb-&gt;len already pulled to 0. If the bytehappened to be HCI_ACLDATA_PKT, the ACL-vs-ISO classificationfast-path in hci_dev_classify_pkt_type() dereferenceshci_acl_hdr(skb)-&gt;handle whenever the HCI device has an activeCIS_LINK, BIS_LINK, or PA_LINK connection, reading two bytes ofuninitialized RX-buffer data. The same hazard exists for everypacket type the driver accepts because none of the switch cases invirtbt_rx_handle() check skb-&gt;len against the per-type minimum HCIheader size before handing the frame to the core.After stripping pkt_type, require skb-&gt;len to cover the fixedheader size for the selected type (event 2, ACL 4, SCO 3, ISO 4)before calling hci_recv_frame(); drop ratelimited otherwise.Unknown pkt_type values still take the original kfree_skb() defaultpath.Use bt_dev_err_ratelimited() because both the length and pkt_typevalues come from an untrusted backend that can otherwise flood thekernel log.</t>
  </si>
  <si>
    <t>CVE-2026-46187</t>
  </si>
  <si>
    <t>In the Linux kernel, the following vulnerability has been resolved:wifi: rsi: fix kthread lifetime race between self-exit and external-stopRSI driver use both self-exit(kthread_complete_and_exit) and external-stop(kthread_stop) when killing a kthread. Generally, kthread_stop() is calledfirst, and in this case, no particular issues occur.However, in rare instances where kthread_complete_and_exit() is calledfirst and then kthread_stop() is called, a UAF occurs because the kthreadobject, which has already exited and been freed, is accessed again.Therefore, to prevent this with minimal modification, you must removekthread_stop() and change the code to wait until the self-exit operationis completed.</t>
  </si>
  <si>
    <t>CVE-2026-46188</t>
  </si>
  <si>
    <t>In the Linux kernel, the following vulnerability has been resolved:octeon_ep_vf: add NULL check for napi_build_skb()napi_build_skb() can return NULL on allocation failure. In__octep_vf_oq_process_rx(), the result is used directly without a NULLcheck in both the single-buffer and multi-fragment paths, leading to aNULL pointer dereference.Add NULL checks after both napi_build_skb() calls, properly advancingdescriptors and consuming remaining fragments on failure.</t>
  </si>
  <si>
    <t>CVE-2026-46192</t>
  </si>
  <si>
    <t>In the Linux kernel, the following vulnerability has been resolved:spi: microchip-core-qspi: don't attempt to transmit during emulatedread-only dual/quad operationsThe core will deal with reads by creating clock cycles itself, there'sno need to generate clock cycles by transmitting garbage data at thedriver level. Further, transmitting garbage data just bricks the transfersince QSPI doesn't have a dedicated master-out line like MOSI in regularSPI. I'm not entirely sure if the transfer is bricked because of thegarbage data being transmitted on the bus or because the core losestrack of whether it is supposed to be sending or receiving data.</t>
  </si>
  <si>
    <t>CVE-2026-46193</t>
  </si>
  <si>
    <t>In the Linux kernel, the following vulnerability has been resolved:xfrm: ah: account for ESN high bits in async callbacksAH allocates its temporary auth/ICV layout differently when ESN is enabled:the async ahash setup appends a 4-byte seqhi slot before the ICV orauth_data area, but the async completion callbacks still reconstruct thetemporary layout as if seqhi were absent.With an async AH implementation selected, that makes AH copy or comparethe wrong bytes on both the IPv4 and IPv6 paths. In UML repro on IPv4 AHwith ESN and forced async hmac(sha1), ping fails with 100% packet loss,and the callback logs show the pre-fix drift:  ah4 output_done: esn=1 err=0 icv_off=20 expected_off=24  ah4 input_done: esn=1 auth_off=20 expected_auth_off=24 icv_off=32expected_icv_off=36Reconstruct the callback-side layout the same way the setup path built itby skipping the ESN seqhi slot before locating the saved auth_data or ICV.Per RFC 4302, the ESN high-order 32 bits participate in the AH ICVcomputation, so the async callbacks must account for the seqhi slot.Post-fix, the same IPv4 AH+ESN+forced-async-hmac(sha1) UML repro showsthe corrected offset (ah4 output_done: esn=1 err=0 icv_off=24expected_off=24) and ping succeeds; net/ipv4/ah4.o and net/ipv6/ah6.obuild clean at W=1. IPv6 AH+ESN was not exercised at runtime, and thechange has not been tested against a real async hardware AH engine.</t>
  </si>
  <si>
    <t>CVE-2026-46194</t>
  </si>
  <si>
    <t>In the Linux kernel, the following vulnerability has been resolved:f2fs: fix node_cnt race between extent node destroy and writebackf2fs_destroy_extent_node() does not set FI_NO_EXTENT before clearingextent nodes. When called from f2fs_drop_inode() with I_SYNC set,concurrent kworker writeback can insert new extent nodes into the sameextent tree, racing with the destroy and triggering f2fs_bug_on() in__destroy_extent_node(). The scenario is as follows:drop inode                            writeback - iput  - f2fs_drop_inode  // I_SYNC set   - f2fs_destroy_extent_node    - __destroy_extent_node     - while (node_cnt) {        write_lock(&amp;et-&gt;lock)        __free_extent_tree        write_unlock(&amp;et-&gt;lock)                                       - __writeback_single_inode                                        - f2fs_outplace_write_data                                         - f2fs_update_read_extent_cache                                          - __update_extent_tree_range                                           // FI_NO_EXTENT not set,                                           // insert new extent node       } // node_cnt == 0, exit while     - f2fs_bug_on(node_cnt)  // node_cnt &gt; 0Additionally, __update_extent_tree_range() only checks FI_NO_EXTENT forEX_READ type, leaving EX_BLOCK_AGE updates completely unprotected.This patch set FI_NO_EXTENT under et-&gt;lock in __destroy_extent_node(),consistent with other callers (__update_extent_tree_range and__drop_extent_tree) and check FI_NO_EXTENT for both EX_READ andEX_BLOCK_AGE tree.</t>
  </si>
  <si>
    <t>CVE-2026-46196</t>
  </si>
  <si>
    <t>In the Linux kernel, the following vulnerability has been resolved:tracepoint: balance regfunc() on func_add() failure intracepoint_add_func()When a tracepoint goes through the 0 -&gt; 1 transition, tracepoint_add_func()invokes the subsystem's ext-&gt;regfunc() before attempting to install thenew probe via func_add(). If func_add() then fails (for example, whenallocate_probes() cannot allocate a new probe array under memory pressureand returns -ENOMEM), the function returns the error without calling thematching ext-&gt;unregfunc(), leaving the side effects of regfunc() behindwith no installed probe to justify them.For syscall tracepoints this is particularly unpleasant: syscall_regfunc()bumps sys_tracepoint_refcount and sets SYSCALL_TRACEPOINT on every task.After a leaked failure, the refcount is stuck at a non-zero value with noconsumer, and every task continues paying the syscall trace entry/exitoverhead until reboot. Other subsystems providing regfunc()/unregfunc()pairs exhibit similarly scoped persistent state.Mirror the existing 1 -&gt; 0 cleanup and call ext-&gt;unregfunc() in thefunc_add() error path, gated on the same condition used there so theunwind is symmetric with the registration.</t>
  </si>
  <si>
    <t>CVE-2026-46200</t>
  </si>
  <si>
    <t>In the Linux kernel, the following vulnerability has been resolved:spi: mpc52xx: fix controller deregistrationMake sure to deregister the controller before disabling and releasingunderlying resources like interrupts and gpios during driver unbind.</t>
  </si>
  <si>
    <t>CVE-2026-46202</t>
  </si>
  <si>
    <t>In the Linux kernel, the following vulnerability has been resolved:HID: appletb-kbd: run inactivity autodim from workqueuesThe autodim code in hid-appletb-kbd takes backlight_device-&gt;ops_lockvia backlight_device_set_brightness() -&gt; mutex_lock() from twodifferent atomic contexts: * appletb_inactivity_timer() is a struct timer_list callback, so it   runs in softirq context.  Every expiry triggers     BUG: sleeping function called from invalid context atkernel/locking/mutex.c:591     Call Trace:      &lt;IRQ&gt;      __might_resched      __mutex_lock      backlight_device_set_brightness      appletb_inactivity_timer      call_timer_fn      run_timer_softirq * reset_inactivity_timer() is called from appletb_kbd_hid_event() and   appletb_kbd_inp_event().  On real USB hardware these run in   softirq/IRQ context (URB completion and input-event dispatch).   When the Touch Bar has already been dimmed or turned off, the   reset path calls backlight_device_set_brightness() directly to   restore brightness, producing the same warning.Both call sites hit the same mutex_lock()-from-atomic bug.  Fix themtogether by moving the blocking work onto the system workqueue: * Convert the inactivity timer from struct timer_list to   struct delayed_work; the callback (appletb_inactivity_work) now   runs in process context where mutex_lock() is legal. * Add a dedicated struct work_struct restore_brightness_work and have   reset_inactivity_timer() schedule it instead of calling   backlight_device_set_brightness() directly.Cancel both works synchronously during driver tear-down alongside theexisting backlight reference drop.The semantics are unchanged (same delays, same state transitions ondim, turn-off and user activity); only the execution context of thesleeping call changes.  The timer field and callback are renamed tomatch their new type; reset_inactivity_timer() keeps its name becauseit is invoked from input event paths that read naturally as "resetthe inactivity timer".</t>
  </si>
  <si>
    <t>CVE-2026-46207</t>
  </si>
  <si>
    <t>In the Linux kernel, the following vulnerability has been resolved:vsock/virtio: fix empty payload in tap skb for non-linear buffersFor non-linear skbs, virtio_transport_build_skb() goes throughvirtio_transport_copy_nonlinear_skb() to copy the original payloadin the new skb to be delivered to the vsockmon tap device.This manually initializes an iov_iter but does not set iov_iter.count.Since the iov_iter is zero-initialized, the copy length is zero and nopayload is actually copied to the monitor interface, leaving dataun-initialized.Fix this by removing the linear vs non-linear split and usingskb_copy_datagram_iter() with iov_iter_kvec() for all cases, asvhost-vsock already does. This handles both linear and non-linear skbs,properly initializes the iov_iter, and removes the now unusedvirtio_transport_copy_nonlinear_skb().While touching this code, let's also check the return value ofskb_copy_datagram_iter(), even though it's unlikely to fail.</t>
  </si>
  <si>
    <t>CVE-2026-46211</t>
  </si>
  <si>
    <t>In the Linux kernel, the following vulnerability has been resolved:drm/msm/gem: fix error handling in msm_ioctl_gem_info_get_metadata()msm_ioctl_gem_info_get_metadata() always returns 0 regardless oferrors. When copy_to_user() fails or the user buffer is too small,the error code stored in ret is ignored because the functionunconditionally returns 0. This causes userspace to believe theioctl succeeded when it did not.Additionally, kmemdup() can return NULL on allocation failure, butthe return value is not checked. This leads to a NULL pointerdereference in the subsequent copy_to_user() call.Add the missing NULL check for kmemdup() and return ret instead of 0.Note that the SET counterpart (msm_ioctl_gem_info_set_metadata)correctly returns ret.Patchwork: https://patchwork.freedesktop.org/patch/714478/</t>
  </si>
  <si>
    <t>CVE-2026-46214</t>
  </si>
  <si>
    <t>In the Linux kernel, the following vulnerability has been resolved:vsock/virtio: fix accept queue count leak on transport mismatchvirtio_transport_recv_listen() calls sk_acceptq_added() beforevsock_assign_transport(). If vsock_assign_transport() fails orselects a different transport, the error path returns withoutcalling sk_acceptq_removed(), permanently incrementingsk_ack_backlog.After approximately backlog+1 such failures, sk_acceptq_is_full()returns true, causing the listener to reject all new connections.Fix by moving sk_acceptq_added() to after the transport validation,matching the pattern used by vmci_transport and hyperv_transport.</t>
  </si>
  <si>
    <t>CVE-2026-46216</t>
  </si>
  <si>
    <t>In the Linux kernel, the following vulnerability has been resolved:drm/xe/hdcp: Add NULL check for media_gt in intel_hdcp_gsc_check_status()When media GT is disabled via configfs, there is no allocation formedia_gt, which is kept as NULL.  In such scenario,intel_hdcp_gsc_check_status() results in a kernel pagefault error due to&amp;gt-&gt;uc.gsc being evaluated as an invalid memory address.Fix that by introducing a NULL check on media_gt and bailing out earlyif so.While at it, also drop the NULL check for gsc, since it can't be NULL ifmedia_gt is not NULL.v2:  - Get address for gsc only after checking that gt is not NULL.    (Shuicheng)  - Drop the NULL check for gsc. (Shuicheng)v3:  - Add "Fixes" and "Cc: &lt;stable...&gt;" tags. (Matt)(cherry picked from commit bfaf87e84ca3ca3f6e275f9ae56da47a8b55ffd1)</t>
  </si>
  <si>
    <t>CVE-2026-46220</t>
  </si>
  <si>
    <t>In the Linux kernel, the following vulnerability has been resolved:drm/amdgpu/sdma4: replace BUG_ON with WARN_ON in fence emissionsdma_v4_0_ring_emit_fence() contains two BUG_ON(addr &amp; 0x3) assertionsthat verify fence writeback addresses are dword-aligned.  Theseassertions can be reached from unprivileged userspace via craftedDRM_IOCTL_AMDGPU_CS submissions, causing a fatal kernel panic in ascheduler worker thread.Replace both BUG_ON() calls with WARN_ON() to log the condition withoutcrashing the kernel.  A misaligned fence address at this point indicatesa driver bug, but crashing the kernel is never the correct response whenthe assertion is reachable from userspace.The CS IOCTL path is the correct place to filter invalid submissions;the ring emission callback is too late to do anything about it.(cherry picked from commit b90250bd933afd1ba94d86d6b13821997b22b18e)</t>
  </si>
  <si>
    <t>CVE-2026-46221</t>
  </si>
  <si>
    <t>In the Linux kernel, the following vulnerability has been resolved:EDAC/versalnet: Fix device name memory leakThe device name allocated via kzalloc() in init_one_mc() is assigned todev-&gt;init_name but never freed on the normal removal path.device_register()copies init_name and then sets dev-&gt;init_name to NULL, so the name pointerbecomes unreachable from the device. Thus leaking memory.Use a stack-local char array instead of using kzalloc() for name.</t>
  </si>
  <si>
    <t>CVE-2026-46222</t>
  </si>
  <si>
    <t>In the Linux kernel, the following vulnerability has been resolved:media: rockchip: rkcif: Add missing MUST_CONNECT flag to padsThe pads missed checks for connected devices which may a null dereferencewhen the stream is enabled.Unable to handle kernel NULL pointer dereference at virtual address0000000000000020pc : rkcif_interface_enable_streams+0x48/0xf0lr : rkcif_interface_enable_streams+0x44/0xf0Call trace: rkcif_interface_enable_streams+0x48/0xf0 v4l2_subdev_enable_streams+0x26c/0x3f0 rkcif_stream_start_streaming+0x140/0x278 vb2_start_streaming+0x74/0x188 vb2_core_streamon+0xe0/0x1d8 vb2_ioctl_streamon+0x60/0xa8 v4l_streamon+0x2c/0x40 __video_do_ioctl+0x34c/0x400 video_usercopy+0x2d0/0x800 video_ioctl2+0x20/0x60 v4l2_ioctl+0x48/0x78</t>
  </si>
  <si>
    <t>CVE-2026-46223</t>
  </si>
  <si>
    <t>In the Linux kernel, the following vulnerability has been resolved:cgroup: Defer css percpu_ref kill on rmdir until cgroup is depopulatedA chain of commits going back to v7.0 reworked rmdir to satisfy thecontroller invariant that a subsystem's -&gt;css_offline() must not run whiletasks are still doing kernel-side work in the cgroup.[1] d245698d727a ("cgroup: Defer task cgroup unlink until after the task isdone switching out")[2] a72f73c4dd9b ("cgroup: Don't expose dead tasks in cgroup")[3] 1b164b876c36 ("cgroup: Wait for dying tasks to leave on rmdir")[4] 4c56a8ac6869 ("cgroup: Fix cgroup_drain_dying() testing the wrongcondition")[5] 13e786b64bd3 ("cgroup: Increment nr_dying_subsys_* from rmdir context")[1] moved task cset unlink from do_exit() to finish_task_switch() so atask's cset link drops only after the task has fully stopped scheduling.That made tasks past exit_signals() linger on cset-&gt;tasks until their finalcontext switch, which led to a series of problems as what userspaceexpectedto see after rmdir diverged from what the kernel needs to wait for. [2]-[5]tried to bridge that divergence: [2] filtered the exiting tasks fromcgroup.procs; [3] had rmdir(2) sleep in TASK_UNINTERRUPTIBLE for them; [4]fixed the wait's condition; [5] made nr_dying_subsys_* visiblesynchronously.The cgroup_drain_dying() wait in [3] turned out to be a dead end. When thermdir caller is also the reaper of a zombie that pins a pidns teardown(e.g.host PID 1 systemd reaping orphan pids that were re-parented to it duringthe same teardown), rmdir blocks in TASK_UNINTERRUPTIBLE waiting for thosepids to free, the pids can't free because PID 1 is the reaper and it'sstuckin rmdir, and the system A-A deadlocks. No internal lock ordering breaksthis; the wait itself is the bug.The css killing side that drove the original reorder, however, can be madecleanly asynchronous: -&gt;css_offline() is already async, run fromcss_killed_work_fn() driven by percpu_ref_kill_and_confirm(). The fix is tomake that chain start only after all tasks have left the cgroup. rmdir'suser-visible side then returns as soon as cgroup.procs and friends areempty, while -&gt;css_offline() still runs only after the cgroup is fullydrained.Verified by the original reproducer (pidns teardown + zombie reaper, runsunder vng) which hangs vanilla and succeeds here, and by per-commitdeterministic repros for [2], [3], [4], [5] with a boot parameter thatwidens the post-exit_signals() window so each state is reliably reachable.Some stress tests on top of that.cgroup_apply_control_disable() has the same shape of pre-existing race:when a controller is disabled via subtree_control, kill_css() ransynchronously while tasks past exit_signals() could still be linked tothe cgroup's csets, and -&gt;css_offline() could fire before they drained.This patch preserves the existing synchronous behavior at that call site(kill_css_sync() + kill_css_finish() back-to-back) and a follow-up patchwill defer kill_css_finish() there using a per-css trigger.This seems like the right approach and I don't see problems with it. Thechanges are somewhat invasive but not excessively so, so backporting to-stable should be okay. If something does turn out to be wrong, thefallbackis to revert the entire chain ([1]-[5]) and rework in the developmentbranchinstead.v2: Pin cgrp across the deferred destroy work with explicit    cgroup_get()/cgroup_put() around queue_work() and the work_fn. v1    wasn't actually broken (ordered cgroup_offline_wq + queue_work order    in cgroup_task_dead() saved it) but the explicit ref removes the    dependency on those non-obvious invariants. Also note the    pre-existing cgroup_apply_control_disable() race in the description;    a follow-up will defer kill_css_finish() there.</t>
  </si>
  <si>
    <t>CVE-2026-46224</t>
  </si>
  <si>
    <t>In the Linux kernel, the following vulnerability has been resolved:drm/xe: Fix bo leak in xe_dma_buf_init_obj() on allocation failureWhen drm_gpuvm_resv_object_alloc() fails, the pre-allocated storage bois not freed. Add xe_bo_free(storage) before returning the error.xe_dma_buf_init_obj() calls xe_bo_init_locked(), which frees the bo onerror. Therefore, xe_dma_buf_init_obj() must also free the bo on its ownerror paths. Otherwise, since xe_gem_prime_import() cannot distinguishwhether the failure originated from xe_dma_buf_init_obj() or fromxe_bo_init_locked(), it cannot safely decide whether the bo should befreed.Add comments documenting the ownership semantics: on success, ownershipof storage is transferred to the returned drm_gem_object; on failure,storage is freed before returning.v2: Add comments to explain the free logic.(cherry picked from commit 78a6c5f899f22338bbf48b44fb8950409c5a69b9)</t>
  </si>
  <si>
    <t>CVE-2026-46225</t>
  </si>
  <si>
    <t>In the Linux kernel, the following vulnerability has been resolved:spi: rspi: fix controller deregistrationMake sure to deregister the controller before releasing underlyingresources like DMA during driver unbind.</t>
  </si>
  <si>
    <t>CVE-2026-46226</t>
  </si>
  <si>
    <t>In the Linux kernel, the following vulnerability has been resolved:spi: fsl: fix controller deregistrationMake sure to deregister the controller before releasing underlyingresources like DMA during driver unbind.</t>
  </si>
  <si>
    <t>CVE-2026-46228</t>
  </si>
  <si>
    <t>In the Linux kernel, the following vulnerability has been resolved:spi: ch341: fix devres lifetimeUSB drivers bind to USB interfaces and any device managed resourcesshould have their lifetime tied to the interface rather than parent USBdevice. This avoids issues like memory leaks when drivers are unboundwithout their devices being physically disconnected (e.g. on probedeferral or configuration changes).Fix the controller and driver data lifetime so that they are releasedon driver unbind.Note that this also makes sure that the SPI controller is placedcorrectly under the USB interface in the device tree.</t>
  </si>
  <si>
    <t>CVE-2026-46229</t>
  </si>
  <si>
    <t>In the Linux kernel, the following vulnerability has been resolved:drm/amdkfd: Clear VRAM on allocation to prevent stale data exposureKFD VRAM allocations set AMDGPU_GEM_CREATE_VRAM_WIPE_ON_RELEASEbut not AMDGPU_GEM_CREATE_VRAM_CLEARED, leaving freshly allocatedVRAM with stale data from prior use observable by compute kernels.The GEM ioctl path already sets VRAM_CLEARED for all userspaceallocations via amdgpu_gem_create_ioctl() andamdgpu_mode_dumb_create(). The KFD path was missing this flag,allowing stale page table remnants to leak into user buffers.This causes crashes in RCCL P2P transport where non-zero data inptrExchange/head/tail fields corrupts the protocol handshake.</t>
  </si>
  <si>
    <t>CVE-2026-46231</t>
  </si>
  <si>
    <t>In the Linux kernel, the following vulnerability has been resolved:batman-adv: bla: put backbone reference on failed claim hash insertWhen batadv_bla_add_claim() fails to insert a new claim into the hash, itleaked a reference to the backbone_gw for which the claim was intended.Call batadv_backbone_gw_put() on the error path to release the referenceand avoid leaking the backbone_gw object.</t>
  </si>
  <si>
    <t>CVE-2026-46233</t>
  </si>
  <si>
    <t>In the Linux kernel, the following vulnerability has been resolved:batman-adv: bla: only purge non-released claimsWhen batadv_bla_purge_claims() goes through the list of claims, it is onlytraversing the hash list with an rcu_read_lock(). Due to a potentialparallel batadv_claim_put(), it can happen that it encounters a claim whichwas actually in the process of being released+freed bybatadv_claim_release(). In this case, backbone_gw is set to NULL before thedelayed RCU kfree is started. Calling batadv_bla_claim_get_backbone_gw() isthen no longer allowed because it would cause a NULL-ptr derefence.To avoid this, only claims with a valid reference counter must be purged.All others are already taken care of.</t>
  </si>
  <si>
    <t>CVE-2026-46235</t>
  </si>
  <si>
    <t>In the Linux kernel, the following vulnerability has been resolved:media: saa7164: add ioremap return checks and cleanupsAdd checks for ioremap return values in saa7164_dev_setup(). Ifioremap for BAR0 or BAR2 fails, release the already allocated PCImemory regions, remove the device from the global list, decrementthe device count, and return -ENODEV.This prevents potential null pointer dereferences and ensures propercleanup on memory mapping failures.</t>
  </si>
  <si>
    <t>CVE-2026-46236</t>
  </si>
  <si>
    <t>In the Linux kernel, the following vulnerability has been resolved:media: rc: xbox_remote: heed DMA restrictionsThe buffer for IO must not be part of the device structurebecause that violates the DMA coherency rules.</t>
  </si>
  <si>
    <t>CVE-2026-46239</t>
  </si>
  <si>
    <t>In the Linux kernel, the following vulnerability has been resolved:media: i2c: ov5647: Fix runtime PM refcount leak in s_ctrlThree control cases (AUTOGAIN, EXPOSURE_AUTO, ANALOGUE_GAIN) directlyreturn without calling pm_runtime_put(), causing runtime PM referencecount leaks.Change these cases from 'return' to 'ret = ... break' pattern to ensurepm_runtime_put() is always called before function exit.</t>
  </si>
  <si>
    <t>CVE-2026-46290</t>
  </si>
  <si>
    <t>In the Linux kernel, the following vulnerability has been resolved:x86/efi: Fix graceful fault handling after FPU softirq changesSince commit d02198550423 ("x86/fpu: Improve crypto performance bymaking kernel-mode FPU reliably usable in softirqs"), kernel_fpu_begin()calls fpregs_lock() which uses local_bh_disable() instead of theprevious preempt_disable(). This sets SOFTIRQ_OFFSET in preempt_countduring the entire EFI runtime service call, causing in_interrupt() toreturn true in normal task context.The graceful page fault handler efi_crash_gracefully_on_page_fault()uses in_interrupt() to bail out for faults in real interrupt context.With SOFTIRQ_OFFSET now set, the handler always bails out, leaving EFIfirmware page faults unhandled. This escalates to die() which also seesin_interrupt() as true and calls panic("Fatal exception in interrupt"),resulting in a hard system freeze. On systems with buggy firmware thattriggers page faults during EFI runtime calls (e.g., accessing unmappedmemory in GetTime()), this causes an unrecoverable hang instead of theexpected graceful EFI_ABORTED recovery.Fix by replacing in_interrupt() with !in_task(). This preserves theoriginal intent of bailing for interrupts or NMI faults, while no longerfalsely triggering from the FPU code path's local_bh_disable().[ardb: Sashiko spotted that using 'in_hardirq() || in_nmi()' leaves a       window where a softirq may be taken before fpregs_lock() is       called, but after efi_rts_work.efi_rts_id has been assigned,       and any page faults occurring in that window will then be       misidentified as having been caused by the firmware. Instead,       use !in_task(), which incorporates in_serving_softirq(). ]</t>
  </si>
  <si>
    <t>CVE-2026-46291</t>
  </si>
  <si>
    <t>In the Linux kernel, the following vulnerability has been resolved:crypto: caam - guard HMAC key hex dumps in hash_digest_keyUse print_hex_dump_devel() for dumping sensitive HMAC key bytes inhash_digest_key() to avoid leaking secrets at runtime whenCONFIG_DYNAMIC_DEBUG is enabled.</t>
  </si>
  <si>
    <t>CVE-2026-46292</t>
  </si>
  <si>
    <t>In the Linux kernel, the following vulnerability has been resolved:pmdomain: core: Fix detach procedure for virtual devices in genpdIf a device is attached to a PM domain through genpd_dev_pm_attach_by_id(),genpd calls pm_runtime_enable() for the corresponding virtual device thatit registers. While this avoids boilerplate code in drivers, there is nocorresponding call to pm_runtime_disable() in genpd_dev_pm_detach().This means these virtual devices are typically detached from its genpd,while runtime PM remains enabled for them, which is not how things aredesigned to work. In worst cases it may lead to critical errors, like aNULL pointer dereference bug in genpd_runtime_suspend(), which was recentlyreported. For another case, we may end up keeping an unnecessary vote for aperformance state for the device.To fix these problems, let's add this missing call to pm_runtime_disable()in genpd_dev_pm_detach().</t>
  </si>
  <si>
    <t>CVE-2026-46295</t>
  </si>
  <si>
    <t>In the Linux kernel, the following vulnerability has been resolved:KVM: x86: Do IRR scan in __kvm_apic_update_irr even if PIR is emptyFall back to apic_find_highest_vector() when PID.ON is set but PIRturns out to be empty, to correctly report the highest pending interruptfrom the existing IRR.In a nested VM stress test, the following WARNING fires invmx_check_nested_events() when kvm_cpu_has_interrupt() reports a pendinginterrupt but the subsequent kvm_apic_has_interrupt() (which invokesvmx_sync_pir_to_irr() again) returns -1:  WARNING: CPU: 99 PID: 57767 at arch/x86/kvm/vmx/nested.c:4449vmx_check_nested_events+0x6bf/0x6e0 [kvm_intel]  Call Trace:   kvm_check_and_inject_events   vcpu_enter_guest.constprop.0   vcpu_run   kvm_arch_vcpu_ioctl_run   kvm_vcpu_ioctl   __x64_sys_ioctl   do_syscall_64   entry_SYSCALL_64_after_hwframeThe root cause is a race between vmx_sync_pir_to_irr() on the target vCPUand __vmx_deliver_posted_interrupt() on a sender vCPU.  The senderperforms two individually-atomic operations that are not a singletransaction:  1. pi_test_and_set_pir(vector)  -- sets the PIR bit  2. pi_test_and_set_on()         -- sets PID.ONThe following interleaving triggers the bug:  Sender vCPU (IPI):              Target vCPU (1st sync_pir_to_irr):  B1: set PIR[vector]                                  A1: pi_clear_on()                                  A2: pi_harvest_pir() -&gt; sees B1 bit                                  A3: xchg() -&gt; consumes bit, PIR=0                                      (1st sync returns correct max_irr)  B2: set PID.ON = 1                                  Target vCPU (2nd sync_pir_to_irr):                                  C1: pi_test_on() -&gt; TRUE (from B2)                                  C2: pi_clear_on() -&gt; ON=0                                  C3: pi_harvest_pir() -&gt; PIR empty                                  C4: *max_irr = -1, early return                                      IRR NOT SCANNEDThe interrupt is not lost (it resides in the IRR from the first sync andis recovered on the next vcpu_enter_guest() iteration), but the incorrectmax_irr causes a spurious WARNING and a wasted L2 VM-Enter/VM-Exit cycle.</t>
  </si>
  <si>
    <t>CVE-2026-46296</t>
  </si>
  <si>
    <t>In the Linux kernel, the following vulnerability has been resolved:spi: s3c64xx: fix NULL-deref on driver unbindA change moving DMA channel allocation from probe() back tos3c64xx_spi_prepare_transfer() failed to remove the correspondingdeallocation from remove().Drop the bogus DMA channel release from remove() to avoid triggering aNULL-pointer dereference on driver unbind.This issue was flagged by Sashiko when reviewing a controllerderegistration fix.</t>
  </si>
  <si>
    <t>CVE-2026-46297</t>
  </si>
  <si>
    <t>In the Linux kernel, the following vulnerability has been resolved:net: libwx: use request_irq for VF misc interruptCurrently, request_threaded_irq() is used with a primary handler but aNULL threaded handler, while also setting the IRQF_ONESHOT flag. Thisspecific combination triggers a WARNING since the commit aef30c8d569c("genirq: Warn about using IRQF_ONESHOT without a threaded handler").WARNING: kernel/irq/manage.c:1502 at __setup_irq+0x4fa/0x760Fix the issue by switching to request_irq(), which is the appropriateinterface or a non-threaded interrupt handler, and removing theunnecessary IRQF_ONESHOT flag.</t>
  </si>
  <si>
    <t>CVE-2026-46298</t>
  </si>
  <si>
    <t>In the Linux kernel, the following vulnerability has been resolved:pseries/papr-hvpipe: Fix race with interrupt handlerWhile executing -&gt;ioctl handler or -&gt;release handler, if an interruptfires on the same cpu, then we can enter into a deadlock.This patch fixes both these handlers to take spin_lock_irq{save|restore}versions of the lock to prevent this deadlock.</t>
  </si>
  <si>
    <t>CVE-2026-46302</t>
  </si>
  <si>
    <t>In the Linux kernel, the following vulnerability has been resolved:selinux: allow multiple opens of /sys/fs/selinux/policyCurrently there can only be a single open of /sys/fs/selinux/policy atany time. This allows any process to block any other process fromreading the kernel policy. The original motivation seems to have beena mix of preventing an inconsistent view of the policy size andpreventing userspace from allocating kernel memory without bound, butthis is arguably equally bad. Eliminate the policy_opened flag andshrink the critical section that the policy mutex is held. While weare making changes here, drop a couple of extraneous BUG_ONs.</t>
  </si>
  <si>
    <t>CVE-2026-46305</t>
  </si>
  <si>
    <t>In the Linux kernel, the following vulnerability has been resolved:staging: rtl8723bs: os_dep: avoid NULL pointer dereference inrtw_cbuf_allocThe return value of kzalloc_flex() is used withoutensuring that the allocation succeeded, and thepointer is dereferenced unconditionally.Guard the access to the allocated structure toavoid a potential NULL pointer dereference if theallocation fails.</t>
  </si>
  <si>
    <t>CVE-2026-46310</t>
  </si>
  <si>
    <t>In the Linux kernel, the following vulnerability has been resolved:media: renesas: vsp1: Fix NULL pointer deref on module unloadWhen unloading the module on gen 4, we hit a NULL pointer dereference.This is caused by the cleanup code calling vsp1_drm_cleanup() where itshould be calling vsp1_vspx_cleanup().Fix this by checking the IP version and calling the drm or vspx functionaccordingly, the same way as the init code does.</t>
  </si>
  <si>
    <t>CVE-2026-46312</t>
  </si>
  <si>
    <t>In the Linux kernel, the following vulnerability has been resolved:media: videobuf2: Set vma_flags in vb2_dma_sg_mmapvb2_dma_contig sets VMA flags VM_DONTEXPAND and VM_DONTDUMP and I do notsee a reason why vb2_dma_sg should behave differently. This avoidshitting `WARN_ON(!(vma-&gt;vm_flags &amp; VM_DONTEXPAND));` indrm_gem_mmap_obj() during mmap() of an imported dma-buf from the out oftree Apple ISP camera capture driver which uses vb2_dma_sg_memops.gst-launch-1.0 v4l2src ! gtk4paintablesink[   38.201528] ------------[ cut here ]------------[   38.202135] WARNING: CPU: 7 PID: 2362 at drivers/gpu/drm/drm_gem.c:1144drm_gem_mmap_obj+0x1f8/0x210[   38.203278] Modules linked in: rfcomm snd_seq_dummy snd_hrtimersnd_seq snd_seq_device uinput nf_conntrack_netbios_nsnf_conntrack_broadcast nft_fib_inet nft_fib_ipv4 nft_fib_ipv6 nft_fibnft_reject_inet nf_reject_ipv6 nft_reject nft_ct nft_chain_nat nf_natnf_conntrack nf_defrag_ipv6 nf_defrag_ipv4 nf_tables qrtr bnepnls_ascii i2c_dev loop fuse dm_multipath nfnetlink brcmfmac_wcchid_magicmouse hci_bcm4377 brcmfmac brcmutil bluetooth ecdh_genericcfg80211 ecc btrfs xor xor_neon rfkill hid_apple raid6_pq joydevaop_als apple_nvmem_spmi industrialio snd_soc_aop apple_z2snd_soc_cs42l84 tps6598x snd_soc_tas2764 macsmc_reboot spi_normacsmc_hwmon rtc_macsmc gpio_macsmc macsmc_power regmap_spmimacsmc_input dockchannel_hid panel_summit appledrm nvme_apple dwc3snd_soc_macaudio drm_client_lib nvme_core phy_apple_atc hwmonapple_sart apple_dockchannel macsmc apple_rtkit_helperspmi_apple_controller aop apple_wdt mfd_core nvmem_apple_efusespinctrl_apple_gpio apple_isp apple_dcp videobuf2_dma_sg mux_corespi_apple[   38.203300]  videobuf2_memops i2c_pasemi_platform snd_soc_apple_mcavideobuf2_v4l2 videodev clk_apple_nco videobuf2_common snd_pcm_dmaengineadpdrm asahi apple_admac adpdrm_mipi drm_dma_helper pwm_applei2c_pasemi_core drm_display_helper mc cec apple_dart ofpartapple_soc_cpufreq leds_pwm phram[   38.217677] CPU: 7 UID: 1000 PID: 2362 Comm: gst-launch-1.0 Tainted: G     W           6.17.6+ #asahi-dev PREEMPT(full)[   38.219040] Tainted: [W]=WARN[   38.219398] Hardware name: Apple MacBook Pro (13-inch, M2, 2022) (DT)[   38.220213] pstate: 21400005 (nzCv daif +PAN -UAO -TCO +DIT -SSBSBTYPE=--)[   38.221088] pc : drm_gem_mmap_obj+0x1f8/0x210[   38.221643] lr : drm_gem_mmap_obj+0x78/0x210[   38.222178] sp : ffffc0008dc678e0[   38.222579] x29: ffffc0008dc678e0 x28: 0000000000042a97 x27:ffff8000b701b480[   38.223465] x26: 00000000000000fb x25: ffffc0008dc67d20 x24:ffffc0008dc67968[   38.224402] x23: ffff8000e3ca5600 x22: ffff8000265b7800 x21:ffff80003000c0c0[   38.225279] x20: 0000000000000000 x19: ffff8000b68c5200 x18:ffffc0008dc67968[   38.226151] x17: 0000000000000000 x16: 0000000000000000 x15:ffffc000810a30a8[   38.227042] x14: 00007fff637effff x13: 00005555de91ffff x12:00007fff63293fff[   38.227942] x11: 0000000000000000 x10: ffff8000184ecf08 x9 :ffffc0007a1900c8[   38.228824] x8 : ffffc0008dc67968 x7 : 0000000000000012 x6 :ffffc0015cf1c000[   38.229703] x5 : ffffc0008dc676a0 x4 : ffffc00081a27dc0 x3 :0000000000000038[   38.230607] x2 : 0000000000000003 x1 : 0000000000000003 x0 :00000000100000fb[   38.231488] Call trace:[   38.231806]  drm_gem_mmap_obj+0x1f8/0x210 (P)[   38.232342]  drm_gem_mmap+0x140/0x260[   38.232813]  __mmap_region+0x488/0x9a0[   38.233277]  mmap_region+0xd0/0x148[   38.233703]  do_mmap+0x350/0x5c0[   38.234148]  vm_mmap_pgoff+0x14c/0x200[   38.234612]  ksys_mmap_pgoff+0x150/0x208[   38.235107]  __arm64_sys_mmap+0x34/0x50[   38.235611]  invoke_syscall+0x50/0x120[   38.236075]  el0_svc_common.constprop.0+0x48/0xf0[   38.236680]  do_el0_svc+0x24/0x38[   38.237113]  el0_svc+0x38/0x168[   38.237507]  el0t_64_sync_handler+0xa0/0xe8[   38.238034]  el0t_64_sync+0x198/0x1a0[   38.238491] ---[ end trace 0000000000000000 ]---There were discussions in [1] at the end of 2023 that mmap() on imported---truncated---</t>
  </si>
  <si>
    <t>CVE-2026-46313</t>
  </si>
  <si>
    <t>In the Linux kernel, the following vulnerability has been resolved:media: intel/ipu6: fix error pointer dereferenceIn a error path isp-&gt;psys is confirmed to be an error pointer not NULL sothis condition is true and the error pointer is dereferenced. So isp-psysshould be set to NULL before going to out_ipu6_bus_del_devices.Detected by Smatch:drivers/media/pci/intel/ipu6/ipu6.c:690 ipu6_pci_probe() error:'isp-&gt;psys' dereferencing possible ERR_PTR()[Sakari Ailus: Fix commit message.]</t>
  </si>
  <si>
    <t>CVE-2026-46314</t>
  </si>
  <si>
    <t>In the Linux kernel, the following vulnerability has been resolved:drm/v3d: Reject empty multisync extension to prevent infinite loopv3d_get_extensions() walks a userspace-provided singly-linked list ofioctl extensions without any bound on the chain length. A local usercan craft a self-referential extension (ext-&gt;next == &amp;ext) with zeroin_sync_count and out_sync_count, which bypasses the existing duplicate-extension guard:    if (se-&gt;in_sync_count || se-&gt;out_sync_count)            return -EINVAL;The guard never fires because v3d_get_multisync_post_deps() returnsimmediately when count is zero, leaving both fields at zero on everyiteration. The result is an infinite loop in kernel context, blockingthe calling thread and pegging a CPU core indefinitely.Fix this by rejecting a multisync extension where both in_sync_countand out_sync_count are zero in v3d_get_multisync_submit_deps(). Anempty multisync carries no synchronization information and serves nouseful purpose, so returning -EINVAL for such an extension is thecorrect defense against this attack vector.</t>
  </si>
  <si>
    <t>CVE-2026-46315</t>
  </si>
  <si>
    <t>In the Linux kernel, the following vulnerability has been resolved:io_uring/waitid: clear waitid info before copying it to userspaceIORING_OP_WAITID stores its result fields in struct io_waitid::info andlater copies them to userspace siginfo. The prep path initializes therequest arguments, but it does not initialize info itself.If the wait operation completes without reporting a child event, the commonwait code can return without writing wo_info. In that caseio_waitid_finish()still copies iw-&gt;info to userspace, exposing stale bytes from the reusedio_kiocb command storage.Clear the result storage during prep so the io_uring path matches theregular waitid syscall, which uses a zero-initialized struct waitid_info.</t>
  </si>
  <si>
    <t>CVE-2026-46318</t>
  </si>
  <si>
    <t>In the Linux kernel, the following vulnerability has been resolved:Revert "mm/hugetlbfs: update hugetlbfs to use mmap_prepare"This reverts commit ea52cb24cd3f ("mm/hugetlbfs: update hugetlbfs to usemmap_prepare") with conflict resolution to account for changes in commitea52cb24cd3f ("mm/hugetlbfs: update hugetlbfs to use mmap_prepare").The patch incorrectly handled hugetlb VMA lock allocation at themmap_prepare stage, where a failed allocation occurring after mmap_prepareis called might result in the lock leaking.There is no risk of a merge causing a similar issues, asVMA_DONTEXPAND_BIT is set for hugetlb mappings.As a first step in addressing this issue, simply revert the change so wecan rework how we do this having corrected the underlying issues.We maintain the VMA flags changes as best we can, accounting for the factthat we were working with a VMA descriptor previously and propagatinglike-for-like changes for this.Note that we invoke vma_set_flags() and do not call vma_start_write() asvm_flags_set() does.  This is OK as it's being done in an .mmap hook wherethe VMA is not yet linked into the tree so nobody else can be accessingit.</t>
  </si>
  <si>
    <t>CVE-2026-46331</t>
  </si>
  <si>
    <t>In the Linux kernel, the following vulnerability has been resolved:net/sched: fix pedit partial COW leading to page cache corruptiontcf_pedit_act() computes the COW range for skb_ensure_writable()once before the key loop using tcfp_off_max_hint, but the hint doesnot account for the runtime header offset added by typed keys. Thiscan leave part of the write region un-COW'd.Fix by moving skb_ensure_writable() inside the per-key loop wherethe actual write offset is known, and add overflow checking on theoffset arithmetic. For negative offsets (e.g. Ethernet header editsat ingress), use skb_cow() to COW the headroom instead. Guardoffset_valid() against INT_MIN, where negation is undefined.</t>
  </si>
  <si>
    <t>CVE-2026-52910</t>
  </si>
  <si>
    <t>In the Linux kernel, the following vulnerability has been resolved:bpf: Free reuseport cBPF prog after RCU grace period.Eulgyu Kim reported the splat below with a repro. [0]The repro sets up a UDP reuseport group with a cBPF prog andreplaces it with a new one while another thread is sendinga UDP packet to the group.The reuseport prog is freed by sk_reuseport_prog_free().bpf_prog_put() is called for "e"BPF prog to destruct throughmultiple stages while cBPF prog is freed immediately bybpf_release_orig_filter() and bpf_prog_free().If a reuseport prog is detached from the setsockopt() path(reuseport_attach_prog() or reuseport_detach_prog()),sk_reuseport_prog_free() is called without waiting for RCUreaders to complete, resulting in various bugs.Let's defer freeing the reuseport cBPF prog after one RCUgrace period.Note "e"BPF prog is safe as is unless the fast path startsto touch fields destroyed in bpf_prog_put_deferred() and__bpf_prog_put_noref().[0]:BUG: KASAN: vmalloc-out-of-bounds in reuseport_select_sock+0xedc/0x1220net/core/sock_reuseport.c:596Read of size 4 at addr ffffc9000051e004 by task slowme/10208CPU: 6 UID: 1000 PID: 10208 Comm: slowme Not tainted 7.0.0-geb7ac95ff75e#32 PREEMPT(full)Hardware name: QEMU Ubuntu 24.04 PC v2 (i440FX + PIIX, arch_caps fix,1996), BIOS 1.16.3-debian-1.16.3-2 04/01/2014Call Trace: &lt;IRQ&gt; dump_stack_lvl+0xe8/0x150 lib/dump_stack.c:120 print_address_description mm/kasan/report.c:378 [inline] print_report+0xca/0x240 mm/kasan/report.c:482 kasan_report+0x118/0x150 mm/kasan/report.c:595 reuseport_select_sock+0xedc/0x1220 net/core/sock_reuseport.c:596 udp4_lib_lookup2+0x3bc/0x950 net/ipv4/udp.c:495 __udp4_lib_lookup+0x768/0xe20 net/ipv4/udp.c:723 __udp4_lib_lookup_skb+0x297/0x390 net/ipv4/udp.c:752 __udp4_lib_rcv+0x1312/0x2620 net/ipv4/udp.c:2752 ip_protocol_deliver_rcu+0x282/0x440 net/ipv4/ip_input.c:207 ip_local_deliver_finish+0x3bb/0x6f0 net/ipv4/ip_input.c:241 NF_HOOK+0x30c/0x3a0 include/linux/netfilter.h:318 NF_HOOK+0x30c/0x3a0 include/linux/netfilter.h:318 __netif_receive_skb_one_core net/core/dev.c:6181 [inline] __netif_receive_skb net/core/dev.c:6294 [inline] process_backlog+0xaa4/0x1960 net/core/dev.c:6645 __napi_poll+0xae/0x340 net/core/dev.c:7709 napi_poll net/core/dev.c:7772 [inline] net_rx_action+0x5d7/0xf50 net/core/dev.c:7929 handle_softirqs+0x22b/0x870 kernel/softirq.c:622 do_softirq+0x76/0xd0 kernel/softirq.c:523 &lt;/IRQ&gt; &lt;TASK&gt; __local_bh_enable_ip+0xf8/0x130 kernel/softirq.c:450 local_bh_enable include/linux/bottom_half.h:33 [inline] rcu_read_unlock_bh include/linux/rcupdate.h:924 [inline] __dev_queue_xmit+0x1dd7/0x3710 net/core/dev.c:4890 neigh_output include/net/neighbour.h:556 [inline] ip_finish_output2+0xca9/0x1070 net/ipv4/ip_output.c:237 NF_HOOK_COND include/linux/netfilter.h:307 [inline] ip_output+0x29f/0x450 net/ipv4/ip_output.c:438 ip_send_skb+0x45/0xc0 net/ipv4/ip_output.c:1508 udp_send_skb+0xb04/0x1510 net/ipv4/udp.c:1195 udp_sendmsg+0x1a71/0x2350 net/ipv4/udp.c:1485 sock_sendmsg_nosec net/socket.c:727 [inline] __sock_sendmsg net/socket.c:742 [inline] __sys_sendto+0x554/0x680 net/socket.c:2206 __do_sys_sendto net/socket.c:2213 [inline] __se_sys_sendto net/socket.c:2209 [inline] __x64_sys_sendto+0xde/0x100 net/socket.c:2209 do_syscall_x64 arch/x86/entry/syscall_64.c:63 [inline] do_syscall_64+0x160/0xf80 arch/x86/entry/syscall_64.c:94 entry_SYSCALL_64_after_hwframe+0x77/0x7fRIP: 0033:0x415a2dCode: b3 66 2e 0f 1f 84 00 00 00 00 00 66 90 f3 0f 1e fa 48 89 f8 48 89 f748 89 d6 48 89 ca 4d 89 c2 4d 89 c8 4c 8b 4c 24 08 0f 05 &lt;48&gt; 3d 01 f0 ffff 73 01 c3 48 c7 c1 b8 ff ff ff f7 d8 64 89 01 48RSP: 002b:00007f6bc31e41e8 EFLAGS: 00000212 ORIG_RAX: 000000000000002cRAX: ffffffffffffffda RBX: 00007f6bc31e4cdc RCX: 0000000000415a2dRDX: 0000000000000001 RSI: 00007f6bc31e421f RDI: 0000000000000003RBP: 00007f6bc31e4240 R08: 00007f6bc31e4220 R09: 0000000000000010R10: 0000000000000000 R11:---truncated---</t>
  </si>
  <si>
    <t>CVE-2026-52913</t>
  </si>
  <si>
    <t>In the Linux kernel, the following vulnerability has been resolved:batman-adv: v: stop OGMv2 on disabled interfaceWhen a batadv_hard_iface is disabled, its mesh_iface pointer is set toNULL. However, batadv_v_ogm_send_meshif() may still dispatch OGMs viabatadv_v_ogm_queue_on_if() for interfaces that have since lost theirmesh_iface association. This results in a NULL pointer dereference whenbatadv_v_ogm_queue_on_if() unconditionally calls netdev_priv() on thenow NULL hard_iface-&gt;mesh_iface to retrieve the batadv_priv.It is necessary to ensure that the batadv_v_ogm_queue_on_if() checks thatit is using the same mesh_iface for which batadv_v_ogm_send_meshif() wascalled.</t>
  </si>
  <si>
    <t>CVE-2026-52916</t>
  </si>
  <si>
    <t>In the Linux kernel, the following vulnerability has been resolved:batman-adv: frag: disallow unicast fragment in fragmentbatadv_frag_skb_buffer() is called by batadv_batman_skb_recv() when aBATADV_UNICAST_FRAG packet is received. Once all fragments are collectedand the packet is reassembled, batadv_recv_frag_packet() callsbatadv_batman_skb_recv() again to process the defragmented payload.A malicious sender can craft a BATADV_UNICAST_FRAG packet whose reassembledpayload is itself a BATADV_UNICAST_FRAG packet (matryoshka-style nesting).Each nesting level recurses through batadv_batman_skb_recv() without bound,growing the kernel stack until it is exhausted.Since refragmentation or fragments in fragments are not actually allowed,discard all packets which are still BATADV_UNICAST_FRAG packets after thedefragmentation process.</t>
  </si>
  <si>
    <t>CVE-2026-52921</t>
  </si>
  <si>
    <t>In the Linux kernel, the following vulnerability has been resolved:netfilter: ipset: stop hash:* range iteration at endThe following hash set variants:hash:ip,markhash:ip,porthash:ip,port,iphash:ip,port,netiterate IPv4 ranges with a 32-bit iterator.The iterator must stop once the last address in the requested range hasbeen processed. Advancing it once more can move the traversal state pastthe end of the request, so a later retry may continue from an unintendedposition.Handle the iterator increment explicitly at the end of the loop and stoponce the upper bound has been processed. This keeps the existing retrybehaviour intact for valid ranges while preventing traversal fromcontinuing past the original boundary.</t>
  </si>
  <si>
    <t>CVE-2026-52925</t>
  </si>
  <si>
    <t>In the Linux kernel, the following vulnerability has been resolved:vrf: Fix a potential NPD when removing a port from a VRFRCU readers that identified a net device as a VRF port usingnetif_is_l3_slave() assume that a subsequent call tonetdev_master_upper_dev_get_rcu() will return a VRF device. They thencontinue to dereference its l3mdev operations.This assumption is not always correct and can result in a NPD [1]. Thereis no RCU synchronization when removing a port from a VRF, so it ispossible for an RCU reader to see a new master device (e.g., a bridge)that does not have l3mdev operations.Fix by adding RCU synchronization after clearing the IFF_L3MDEV_SLAVEflag. Skip this synchronization when a net device is removed from a VRFas part of its deletion and when the VRF device itself is deleted. Inthe latter case an RCU grace period will pass by the time RTNL isreleased.[1]BUG: kernel NULL pointer dereference, address: 0000000000000000[...]RIP: 0010:l3mdev_fib_table_rcu (net/l3mdev/l3mdev.c:181)[...]Call Trace:&lt;TASK&gt;l3mdev_fib_table_by_index (net/l3mdev/l3mdev.c:201 net/l3mdev/l3mdev.c:189)__inet_bind (net/ipv4/af_inet.c:499 (discriminator 3))inet_bind_sk (net/ipv4/af_inet.c:469)__sys_bind (./include/linux/file.h:62 (discriminator 1)./include/linux/file.h:83 (discriminator 1) net/socket.c:1951(discriminator 1))__x64_sys_bind (net/socket.c:1969 (discriminator 1) net/socket.c:1967(discriminator 1) net/socket.c:1967 (discriminator 1))do_syscall_64 (arch/x86/entry/syscall_64.c:63 (discriminator 1)arch/x86/entry/syscall_64.c:94 (discriminator 1))entry_SYSCALL_64_after_hwframe (arch/x86/entry/entry_64.S:130)</t>
  </si>
  <si>
    <t>CVE-2026-52926</t>
  </si>
  <si>
    <t>In the Linux kernel, the following vulnerability has been resolved:batman-adv: clear current gateway during teardownbatadv_gw_node_free() removes the gateway list entries during meshteardown,but it does not clear the currently selected gateway. This leaves stalegateway state behind across cleanup and can break a later mesh recreation.Clear bat_priv-&gt;gw.curr_gw before walking the gateway list so the selectedgateway reference is dropped as part of teardown.</t>
  </si>
  <si>
    <t>CVE-2026-52928</t>
  </si>
  <si>
    <t>In the Linux kernel, the following vulnerability has been resolved:af_unix: Reject SIOCATMARK on non-stream socketsSIOCATMARK reports whether the receive queue is at the urgent mark forMSG_OOB.In AF_UNIX, MSG_OOB is supported only for SOCK_STREAM sockets.SOCK_DGRAM and SOCK_SEQPACKET reject MSG_OOB in sendmsg() and recvmsg(),so they should not support SIOCATMARK either.Return -EOPNOTSUPP for non-stream sockets before checking the receivequeue.</t>
  </si>
  <si>
    <t>CVE-2026-52930</t>
  </si>
  <si>
    <t>In the Linux kernel, the following vulnerability has been resolved:ipc/shm: serialize orphan cleanup with shm_nattch updatesshm_destroy_orphaned() walks the shm idr under shm_ids(ns).rwsem, but thatdoes not serialize all fields tested by shm_may_destroy().  In particular,shm_nattch is updated while holding shm_perm.lock, and attach paths can dothat without holding the rwsem.Do not decide that an orphaned segment is unused before taking the objectlock.  Move the shm_may_destroy() check under shm_perm.lock, matching theother destroy paths, and unlock the segment when it no longer qualifiesfor removal.</t>
  </si>
  <si>
    <t>CVE-2026-52936</t>
  </si>
  <si>
    <t>In the Linux kernel, the following vulnerability has been resolved:crypto: jitterentropy - replace long-held spinlock with mutexjent_kcapi_random() serializes the shared jitterentropy state, but itcurrently holds a spinlock across the jent_read_entropy() call. Thatpath performs expensive jitter collection and SHA3 conditioning, soparallel readers can trigger stalls as contending waiters spin forthe same lock.To prevent non-preemptible lock hold, replace rng-&gt;jent_lock with amutex so contended readers sleep instead of spinning on a shared lockheld across expensive entropy generation.</t>
  </si>
  <si>
    <t>CVE-2026-52937</t>
  </si>
  <si>
    <t>In the Linux kernel, the following vulnerability has been resolved:tap: fix stack info leak in tap_ioctl() SIOCGIFHWADDRIn the SIOCGIFHWADDR path, tap_ioctl() copies 16 bytes of anuninitialised on-stack struct sockaddr_storage to userspace viaifr_hwaddr, but netif_get_mac_address() only writes sa_family anddev-&gt;addr_len (6 for Ethernet) bytes, leaving sa_data[6..13] uninitialised.Those 8 trailing bytes leak kernel stack contents; SIOCGIFHWADDR on amacvtap chardev returns kernel .text and direct-map pointers, defeatingKASLR.Initialise ss at declaration.</t>
  </si>
  <si>
    <t>CVE-2026-52938</t>
  </si>
  <si>
    <t>In the Linux kernel, the following vulnerability has been resolved:bpf: Fix NULL pointer dereference in bpf_sk_storage_clone and diag pathsbpf_selem_unlink_nofail() sets SDATA(selem)-&gt;smap to NULL beforeremoving the selem from the storage hlist. A concurrent RCU reader inbpf_sk_storage_clone() can observe the selem still on the list withsmap already NULL, causing a NULL pointer dereference. general protection fault, probably for non-canonical address0xdffffc000000000a: KASAN: null-ptr-deref in range [0x0000000000000050-0x0000000000000057] RIP: 0010:bpf_sk_storage_clone+0x1cd/0xaa0 net/core/bpf_sk_storage.c:174 Call Trace:  &lt;IRQ&gt;  sk_clone+0xfed/0x1980 net/core/sock.c:2591  inet_csk_clone_lock+0x30/0x760 net/ipv4/inet_connection_sock.c:1222  tcp_create_openreq_child+0x35/0x2680 net/ipv4/tcp_minisocks.c:571  tcp_v4_syn_recv_sock+0x123/0xf90 net/ipv4/tcp_ipv4.c:1729  tcp_check_req+0x8e1/0x2580 include/net/tcp.h:855  tcp_v4_rcv+0x1845/0x3b80 net/ipv4/tcp_ipv4.c:2347Add a NULL check for smap in bpf_sk_storage_clone().bpf_sk_storage_diag_put_all() has the same issue. Add a NULL checkand pass the validated smap directly to diag_get(), which is refactoredto take smap as a parameter instead of reading it internally.bpf_sk_storage_diag_put() uses diag-&gt;maps[i] which is always validunder its refcount, so diag-&gt;maps[i] is passed directly to diag_get().</t>
  </si>
  <si>
    <t>CVE-2026-52939</t>
  </si>
  <si>
    <t>In the Linux kernel, the following vulnerability has been resolved:net/rds: fix NULL deref in rds_ib_send_cqe_handler() on masked atomiccompletionrds_ib_xmit_atomic() always programs a masked atomic opcode(IB_WR_MASKED_ATOMIC_CMP_AND_SWP or IB_WR_MASKED_ATOMIC_FETCH_AND_ADD)for every RDS atomic cmsg.  But the completion-side switch inrds_ib_send_unmap_op() only handles the non-masked opcodes, so a maskedatomic completion falls through to default and returns rm == NULL whilesend-&gt;s_op is left set.  rds_ib_send_cqe_handler() then dereferences theNULL rm via rm-&gt;m_final_op, oopsing in softirq context.  An unprivilegedAF_RDS sendmsg() of an atomic cmsg over an active RDS/IB connectiontriggers it; on hardware that natively accepts masked atomics (mlx4,mlx5) no extra setup is needed.  RDS/IB: rds_ib_send_unmap_op: unexpected opcode 0xd in WR!  Oops: general protection fault [#1] SMP KASAN  KASAN: null-ptr-deref in range [0x0000000000000190-0x0000000000000197]  RIP: rds_ib_send_cqe_handler+0x25c/0xb10 (net/rds/ib_send.c:282)  Call Trace:   &lt;IRQ&gt;   rds_ib_send_cqe_handler (net/rds/ib_send.c:282)   poll_scq (net/rds/ib_cm.c:274)   rds_ib_tasklet_fn_send (net/rds/ib_cm.c:294)   tasklet_action_common (kernel/softirq.c:943)   handle_softirqs (kernel/softirq.c:573)   run_ksoftirqd (kernel/softirq.c:479)   &lt;/IRQ&gt;  Kernel panic - not syncing: Fatal exception in interruptHandle the masked atomic opcodes in the same case as the non-maskedones: they map to the same struct rds_message.atomic union member, sothe existing container_of()/rds_ib_send_unmap_atomic() body is correctfor them.</t>
  </si>
  <si>
    <t>CVE-2026-52940</t>
  </si>
  <si>
    <t>In the Linux kernel, the following vulnerability has been resolved:tun: zero the whole vnet header in tun_put_user()tun_put_user() declares an on-stack struct virtio_net_hdr_v1_hash_tunnelwithout zeroing it. For a non-tunnel skb, virtio_net_hdr_tnl_from_skb()only initializes the first 10 bytes (sizeof(struct virtio_net_hdr)),leaving bytes 10..23 (num_buffers and the hash/tunnel fields) as stackgarbage.An unprivileged user can set the vnet header size to 24 withTUNSETVNETHDRSZ, so __tun_vnet_hdr_put() copies all 24 bytes of thepartially-initialized struct to userspace, leaking 14 bytes of kernelstack on every read of a non-tunnel packet.Fix it the same way tun_get_user() already does by zeroing the wholeheader right after declaration.</t>
  </si>
  <si>
    <t>CVE-2026-52941</t>
  </si>
  <si>
    <t>In the Linux kernel, the following vulnerability has been resolved:net/smc: avoid NULL deref of conn-&gt;lnk in smc_msg_event tracepointThe smc_msg_event tracepoint class, shared by smc_tx_sendmsg andsmc_rx_recvmsg, unconditionally dereferences smc-&gt;conn.lnk:__string(name, smc-&gt;conn.lnk-&gt;ibname)conn-&gt;lnk is only set for SMC-R; for SMC-D it is NULL. Other code onthese paths already handles this (e.g. !conn-&gt;lnk inSMC_STAT_RMB_TX_SIZE_SMALL()). With the tracepoint enabled, the firstsendmsg()/recvmsg() on an SMC-D socket crashes:  Oops: general protection fault, probably for non-canonical address  KASAN: null-ptr-deref in range [...]  RIP: 0010:strlen+0x1e/0xa0  Call Trace:   trace_event_raw_event_smc_msg_event (net/smc/smc_tracepoint.h:44)   smc_rx_recvmsg (net/smc/smc_rx.c:515)   smc_recvmsg (net/smc/af_smc.c:2859)   __sys_recvfrom (net/socket.c:2315)   __x64_sys_recvfrom (net/socket.c:2326)   do_syscall_64The faulting address 0x3e0 is offsetof(struct smc_link, ibname),confirming the NULL -&gt;lnk deref. Enabling the tracepoint requiresroot, but the trigger itself is unprivileged: socket(AF_SMC, ...) hasno capability check, and SMC-D negotiation needs no admin step ons390 or on x86 with the loopback ISM device loaded.Log an empty device name for SMC-D instead of dereferencing NULL.</t>
  </si>
  <si>
    <t>CVE-2026-52944</t>
  </si>
  <si>
    <t>In the Linux kernel, the following vulnerability has been resolved:ksmbd: fix FSCTL permission bypass by adding a permission check forFSCTL_SET_SPARSEFSCTL_SET_SPARSE in fsctl_set_sparse() modifies the file's sparseattribute and saves it through xattr without any permission checks.This exposes two issues:1) A client on a read-only share can change the sparse attribute   on files it opened, even though the share is read-only.   Other FSCTL write operations already check   test_tree_conn_flag(work-&gt;tcon, KSMBD_TREE_CONN_FLAG_WRITABLE),   but FSCTL_SET_SPARSE does not.2) Even on writable shares, clients without FILE_WRITE_DATA or   FILE_WRITE_ATTRIBUTES access should not modify the sparse   attribute. Similar handle-level checks exist in other functions   but are missing here.Add both share-level writable check and per-handle access check.Use goto out on error to avoid leaking file references.</t>
  </si>
  <si>
    <t>CVE-2026-52955</t>
  </si>
  <si>
    <t>In the Linux kernel, the following vulnerability has been resolved:libceph: Fix potential out-of-bounds access in crush_decode()A message of type CEPH_MSG_OSD_MAP containing a crush map with at leastone bucket has two fields holding the bucket algorithm. If the valuesin these two fields differ, an out-of-bounds access can occur. This isthe case because the first algorithm field (alg) is used to allocatethe correct amount of memory for a bucket of this type, while the secondalgorithm field inside the bucket (b-&gt;alg) is used in the subsequentprocessing.This patch fixes the issue by adding a check that compares alg andb-&gt;alg and aborts the processing in case they differ. Furthermore,b-&gt;alg is set to 0 in this case, because the destruction of the crushmap also uses this field to determine the bucket type, which can againresult in an out-of-bounds access when trying to free the memory pointedto by the fields of the bucket. To correctly free the memory allocatedfor the bucket in such a case, the corresponding call to kfree is movedfrom the algorithm-specific crush_destroy_bucket functions to thegeneric crush_destroy_bucket().</t>
  </si>
  <si>
    <t>CVE-2026-53059</t>
  </si>
  <si>
    <t>In the Linux kernel, the following vulnerability has been resolved:dm log: fix out-of-bounds write due to region_count overflowThe local variable region_count in create_log_context() is declared asunsigned int (32-bit), but dm_sector_div_up() returns sector_t (64-bit).When a device-mapper target has a sufficiently large ti-&gt;len with a smallregion_size, the division result can exceed UINT_MAX. The truncatedvalue is then used to calculate bitset_size, causing clean_bits,sync_bits, and recovering_bits to be allocated far smaller than neededfor the actual number of regions.Subsequent log operations (log_set_bit, log_clear_bit, log_test_bit) useregion indices derived from the full untruncated region space, causingout-of-bounds writes to kernel heap memory allocated by vmalloc.This can be reproduced by creating a mirror target whose region_countoverflows 32 bits:  dmsetup create bigzero --table '0 8589934594 zero'  dmsetup create mymirror --table '0 8589934594 mirror \    core 2 2 nosync 2 /dev/mapper/bigzero 0 \    /dev/mapper/bigzero 0'The status output confirms the truncation (sync_count=1 instead of4294967297, because 0x100000001 was truncated to 1):  $ dmsetup status mymirror  0 8589934594 mirror 2 254:1 254:1 1/4294967297 ...This leads to a kernel crash in core_in_sync:  BUG: scheduling while atomic: (udev-worker)/9150/0x00000000  RIP: 0010:core_in_sync+0x14/0x30 [dm_log]  CR2: 0000000000000008  Fixing recursive fault but reboot is needed!Fix by widening the local region_count to sector_t and adding anexplicit overflow check before the value is assigned to lc-&gt;region_count.</t>
  </si>
  <si>
    <t>CVE-2026-6238</t>
  </si>
  <si>
    <t>The deprecated functions ns_printrrf, ns_printrr and fp_nquery in the GNU CLibrary version 2.0.1 to version 2.43 fail to validate the RDATA contentagainst the RDATA length in a DNS response when processing A6, CERT, LOC,TKEY or TSIG records, which may allow an attacker to craft a DNS response,causing a target application to crash or read uninitialized memory.These functions are for application debugging only and hence not in thepath of code executed by the DNS resolver.  Further, they have beendeprecated since version 2.34 and should not be used by any newapplications.  Applications should consider porting away from theseinterfaces since they may be removed in future versions.</t>
  </si>
  <si>
    <t>CVE-2026-6862</t>
  </si>
  <si>
    <t>libefiboot1t64</t>
  </si>
  <si>
    <t>A flaw was found in libefiboot, a component of efivar. The device path nodeparser in libefiboot fails to validate that each node's Length field is atleast 4 bytes, which is the minimum size for an EFI (Extensible FirmwareInterface) device path node header. A local user could exploit thisvulnerability by providing a specially crafted device path node. This canlead to infinite recursion, causing stack exhaustion and a process crash,resulting in a denial of service (DoS).</t>
  </si>
  <si>
    <t>libefivar1t64</t>
  </si>
  <si>
    <t>CVE-2026-45642</t>
  </si>
  <si>
    <t>0.1-3.9 (Low)</t>
  </si>
  <si>
    <t>Improper input validation in Microsoft Azure Attestation service and Device Health Attestation Service allows an authorized attacker to perform spoofing with a physical attack.</t>
  </si>
  <si>
    <t>CVE-2018-1121</t>
  </si>
  <si>
    <t>procps-ng, procps is vulnerable to a process hiding through race condition.Since the kernel's proc_pid_readdir() returns PID entries in ascendingnumeric order, a process occupying a high PID can use inotify events todetermine when the process list is being scanned, and fork/exec to obtain alower PID, thus avoiding enumeration. An unprivileged attacker can hide aprocess from procps-ng's utilities by exploiting a race condition inreading /proc/PID entries. This vulnerability affects procps and procps-ngup to version 3.3.15, newer versions might be affected also.</t>
  </si>
  <si>
    <t>CVE-2020-35501</t>
  </si>
  <si>
    <t>A flaw was found in the Linux kernels implementation of audit rules, wherea syscall can unexpectedly not be correctly not be logged by the auditsubsystem</t>
  </si>
  <si>
    <t>CVE-2022-0987</t>
  </si>
  <si>
    <t>libpackagekit-glib2-18</t>
  </si>
  <si>
    <t>A flaw was found in PackageKit in the way some of the methods exposed bythe Transaction interface examines files. This issue allows a local user tomeasure the time the methods take to execute and know whether a file ownedby root or other users exists.</t>
  </si>
  <si>
    <t>gir1.2-packagekitglib-1.0</t>
  </si>
  <si>
    <t>packagekit</t>
  </si>
  <si>
    <t>CVE-2024-0217</t>
  </si>
  <si>
    <t>A use-after-free flaw was found in PackageKitd. In some conditions, theorder of cleanup mechanics for a transaction could be impacted. As aresult, some memory access could occur on memory regions that werepreviously freed. Once freed, a memory region can be reused for otherallocations and any previously stored data in this memory region isconsidered lost.</t>
  </si>
  <si>
    <t>CVE-2024-39286</t>
  </si>
  <si>
    <t>Incorrect execution-assigned permissions in the Linux kernel mode driverfor the Intel(R) 800 Series Ethernet Driver before version 1.15.4 may allowan authenticated user to potentially enable information disclosure vialocal access.</t>
  </si>
  <si>
    <t>CVE-2024-56433</t>
  </si>
  <si>
    <t>passwd</t>
  </si>
  <si>
    <t>shadow-utils (aka shadow) 4.4 through 4.17.0 establishes a default/etc/subuid behavior (e.g., uid 100000 through 165535 for the first useraccount) that can realistically conflict with the uids of users defined onlocally administered networks, potentially leading to account takeover,e.g., by leveraging newuidmap for access to an NFS home directory (orsame-host resources in the case of remote logins by these local networkusers). NOTE: it may also be argued that system administrators should nothave assigned uids, within local networks, that are within the range thatcan occur in /etc/subuid.</t>
  </si>
  <si>
    <t>login.defs</t>
  </si>
  <si>
    <t>CVE-2024-58251</t>
  </si>
  <si>
    <t>In netstat in BusyBox through 1.37.0, local users can launch of networkapplication with an argv[0] containing an ANSI terminal escape sequence,leading to a denial of service (terminal locked up) when netstat is used bya victim.</t>
  </si>
  <si>
    <t>CVE-2025-1376</t>
  </si>
  <si>
    <t>A vulnerability classified as problematic was found in GNU elfutils 0.192.This vulnerability affects the function elf_strptr in the library/libelf/elf_strptr.c of the component eu-strip. The manipulation leads todenial of service. It is possible to launch the attack on the local host.The complexity of an attack is rather high. The exploitation appears to bedifficult. The exploit has been disclosed to the public and may be used.The name of the patch is b16f441cca0a4841050e3215a9f120a6d8aea918. It isrecommended to apply a patch to fix this issue.</t>
  </si>
  <si>
    <t>CVE-2025-46394</t>
  </si>
  <si>
    <t>In tar in BusyBox through 1.37.0, a TAR archive can have filenames hiddenfrom a listing through the use of terminal escape sequences.</t>
  </si>
  <si>
    <t>CVE-2025-66382</t>
  </si>
  <si>
    <t>libexpat1</t>
  </si>
  <si>
    <t>In libexpat through 2.7.3, a crafted file with an approximate size of 2 MiBcan lead to dozens of seconds of processing time.</t>
  </si>
  <si>
    <t>CVE-2026-27171</t>
  </si>
  <si>
    <t>zlib1g</t>
  </si>
  <si>
    <t>zlib before 1.3.2 allows CPU consumption via crc32_combine64 and crc32_combine_gen64 because x2nmodp can do right shifts within a loop that has no termination condition.</t>
  </si>
  <si>
    <t>CVE-2026-3184</t>
  </si>
  <si>
    <t>A flaw was found in util-linux. Improper hostname canonicalization in the`login(1)` utility, when invoked with the `-h` option, can modify thesupplied remote hostname before setting `PAM_RHOST`. A remote attackercould exploit this by providing a specially crafted hostname, potentiallybypassing host-based Pluggable Authentication Modules (PAM) access controlrules that rely on fully qualified domain names. This could lead tounauthorized access.</t>
  </si>
  <si>
    <t>CVE-2026-35344</t>
  </si>
  <si>
    <t>The dd utility in uutils coreutils suppresses errors during file truncationoperations by unconditionally calling Result::ok() on truncation attempts.While intended to mimic GNU behavior for special files like /dev/null, theuutils implementation also hides failures on regular files and directoriescaused by full disks or read-only file systems. This can lead to silentdata corruption in backup or migration scripts, as the utility may report asuccessful operation even when the destination file contains old or garbagedata.</t>
  </si>
  <si>
    <t>CVE-2026-35367</t>
  </si>
  <si>
    <t>The nohup utility in uutils coreutils creates its default output file,nohup.out, without specifying explicit restricted permissions. This causesthe file to inherit umask-based permissions, typically resulting in aworld-readable file (0644). In multi-user environments, this allows anyuser on the system to read the captured stdout/stderr output of a command,potentially exposing sensitive information. This behavior diverges from GNUcoreutils, which creates nohup.out with owner-only (0600) permissions.</t>
  </si>
  <si>
    <t>CVE-2026-35371</t>
  </si>
  <si>
    <t>The id utility in uutils coreutils exhibits incorrect behavior in its"pretty print" output when the real UID and effective UID differ. Theimplementation incorrectly uses the effective GID instead of the effectiveUID when performing a name lookup for the effective user. This results inmisleading diagnostic output that can cause automated scripts or systemadministrators to make incorrect decisions regarding file permissions oraccess control.</t>
  </si>
  <si>
    <t>CVE-2026-35373</t>
  </si>
  <si>
    <t>A logic error in the ln utility of uutils coreutils causes the program toreject source paths containing non-UTF-8 filename bytes when usingtarget-directory forms (e.g., ln SOURCE... DIRECTORY). While GNU ln treatsfilenames as raw bytes and creates the links correctly, the uutilsimplementation enforces UTF-8 encoding, resulting in a failure to stat thefile and a non-zero exit code. In environments where automated scripts orsystem tasks process valid but non-UTF-8 filenames common on Unixfilesystems, this divergence causes the utility to fail, leading to a localdenial of service for those specific operations.</t>
  </si>
  <si>
    <t>CVE-2026-35377</t>
  </si>
  <si>
    <t>A logic error in the env utility of uutils coreutils causes a failure tocorrectly parse command-line arguments when utilizing the -S (split-string)option. In GNU env, backslashes within single quotes are treated literally(with the exceptions of \\ and \'). However, the uutils implementationincorrectly attempts to validate these sequences, resulting in an "invalidsequence" error and an immediate process termination with an exit status of125 when encountering valid but unrecognized sequences like \a or \x. Thisdivergence from GNU behavior breaks compatibility for automated scripts andadministrative workflows that rely on standard split-string semantics,leading to a local denial of service for those operations.</t>
  </si>
  <si>
    <t>CVE-2026-40228</t>
  </si>
  <si>
    <t>libsystemd0</t>
  </si>
  <si>
    <t>In systemd 259, systemd-journald can send ANSI escape sequences to theterminals of arbitrary users when a "logger -p emerg" command is executed,if ForwardToWall=yes is set.</t>
  </si>
  <si>
    <t>systemd</t>
  </si>
  <si>
    <t>libnss-systemd</t>
  </si>
  <si>
    <t>libpam-systemd</t>
  </si>
  <si>
    <t>libudev1</t>
  </si>
  <si>
    <t>libsystemd-shared</t>
  </si>
  <si>
    <t>systemd-cryptsetup</t>
  </si>
  <si>
    <t>systemd-resolved</t>
  </si>
  <si>
    <t>udev</t>
  </si>
  <si>
    <t>systemd-sysv</t>
  </si>
  <si>
    <t>CVE-2012-4542</t>
  </si>
  <si>
    <t>Not yet scored</t>
  </si>
  <si>
    <t>block/scsi_ioctl.c in the Linux kernel through 3.8 does not properlyconsider the SCSI device class during authorization of SCSI commands, whichallows local users to bypass intended access restrictions via an SG_IOioctl call that leverages overlapping opcodes.</t>
  </si>
  <si>
    <t>CVE-2013-7445</t>
  </si>
  <si>
    <t>The Direct Rendering Manager (DRM) subsystem in the Linux kernel through4.x mishandles requests for Graphics Execution Manager (GEM) objects, whichallows context-dependent attackers to cause a denial of service (memoryconsumption) via an application that processes graphics data, asdemonstrated by JavaScript code that creates many CANVAS elements forrendering by Chrome or Firefox.</t>
  </si>
  <si>
    <t>CVE-2023-20585</t>
  </si>
  <si>
    <t>Insufficient checks of the RMP on host buffer access in IOMMU may allow anattacker with privileges and a compromised hypervisor to trigger an out ofbounds condition without RMP checks, resulting in a potential loss ofconfidential guest integrity.</t>
  </si>
  <si>
    <t>CVE-2023-54105</t>
  </si>
  <si>
    <t>In the Linux kernel, the following vulnerability has been resolved:can: isotp: check CAN address family in isotp_bind()Add missing check to block non-AF_CAN binds.Syzbot created some code which matched the right sockaddr struct sizebut used AF_XDP (0x2C) instead of AF_CAN (0x1D) in the address familyfield:bind$xdp(r2, &amp;(0x7f0000000540)={0x2c, 0x0, r4, 0x0, r2}, 0x10)                                ^^^^This has no funtional impact but the userspace should be notified aboutthe wrong address family field content.</t>
  </si>
  <si>
    <t>CVE-2023-54187</t>
  </si>
  <si>
    <t>In the Linux kernel, the following vulnerability has been resolved:f2fs: fix potential corruption when moving a directoryF2FS has the same issue in ext4_rename causing crash revealed byxfstests/generic/707.See also commit 0813299c586b ("ext4: Fix possible corruption when moving adirectory")</t>
  </si>
  <si>
    <t>CVE-2023-54190</t>
  </si>
  <si>
    <t>In the Linux kernel, the following vulnerability has been resolved:leds: led-core: Fix refcount leak in of_led_get()class_find_device_by_of_node() calls class_find_device(), it will takethe reference, use the put_device() to drop the reference when not needanymore.</t>
  </si>
  <si>
    <t>CVE-2024-21953</t>
  </si>
  <si>
    <t>Improper input validation in IOMMU could allow a malicious hypervisor toreconfigure IOMMU registers resulting in loss of guest data integrity.</t>
  </si>
  <si>
    <t>CVE-2025-0031</t>
  </si>
  <si>
    <t>A use after free in the SEV firmware could allow a malicous hypervisor toactivate a migrated guest with the SINGLE_SOCKET policy on a differentsocket than the migration agent potentially resulting in loss of integrity.</t>
  </si>
  <si>
    <t>CVE-2025-29939</t>
  </si>
  <si>
    <t>Improper access control in secure encrypted virtualization (SEV) couldallow a privileged attacker to write to the reverse map page (RMP) duringsecure nested paging (SNP) initialization, potentially resulting in a lossof guest memory confidentiality and integrity.</t>
  </si>
  <si>
    <t>CVE-2025-29946</t>
  </si>
  <si>
    <t>Insufficient or Incomplete Data Removal in Hardware Component in SEVfirmware doesn't fully flush IOMMU. This can potentially lead to a loss ofconfidentiality and integrity in guest memory.</t>
  </si>
  <si>
    <t>CVE-2025-29948</t>
  </si>
  <si>
    <t>Improper access control in AMD Secure Encrypted Virtualization (SEV)firmware could allow a malicious hypervisor to bypass RMP protections,potentially resulting in a loss of SEV-SNP guest memory integrity.</t>
  </si>
  <si>
    <t>CVE-2025-29952</t>
  </si>
  <si>
    <t>Improper Initialization within the AMD Secure Encrypted Virtualization(SEV) firmware can allow an admin privileged attacker to corrupt RMPcovered memory, potentially resulting in loss of guest memory integrity</t>
  </si>
  <si>
    <t>CVE-2025-40190</t>
  </si>
  <si>
    <t>In the Linux kernel, the following vulnerability has been resolved:ext4: guard against EA inode refcount underflow in xattr updatesyzkaller found a path where ext4_xattr_inode_update_ref() reads an EAinode refcount that is already &lt;= 0 and then applies ref_change (often-1). That lets the refcount underflow and we proceed with a bogus value,triggering errors like:  EXT4-fs error: EA inode &lt;n&gt; ref underflow: ref_count=-1 ref_change=-1  EXT4-fs warning: ea_inode dec ref err=-117Make the invariant explicit: if the current refcount is non-positive,treat this as on-disk corruption, emit ext4_error_inode(), and fail theoperation with -EFSCORRUPTED instead of updating the refcount. Delete theWARN_ONCE() as negative refcounts are now impossible; keep error reportingin ext4_error_inode().This prevents the underflow and the follow-on orphan/cleanup churn.</t>
  </si>
  <si>
    <t>CVE-2025-48509</t>
  </si>
  <si>
    <t>Missing Checks in certain functions related to RMP initialization can allowa local admin privileged attacker to cause misidentification of I/O memory,potentially resulting in a loss of guest memory integrity</t>
  </si>
  <si>
    <t>CVE-2025-48514</t>
  </si>
  <si>
    <t>Insufficient Granularity of Access Control in SEV firmware can allow aprivileged attacker to create a SEV-ES Guest to attack SNP guest,potentially resulting in a loss of confidentiality.</t>
  </si>
  <si>
    <t>CVE-2025-48517</t>
  </si>
  <si>
    <t>Insufficient Granularity of Access Control in SEV firmware could allow aprivileged user with a malicious hypervisor to create a SEV-ES guest withan ASID in the range meant for SEV-SNP guests potentially resulting in apartial loss of confidentiality.</t>
  </si>
  <si>
    <t>CVE-2025-52536</t>
  </si>
  <si>
    <t>Improper Prevention of Lock Bit Modification in SEV firmware could allow aprivileged attacker to downgrade firmware potentially resulting in a lossof integrity.</t>
  </si>
  <si>
    <t>CVE-2026-22185</t>
  </si>
  <si>
    <t>liblmdb0</t>
  </si>
  <si>
    <t>OpenLDAP Lightning Memory-Mapped Database (LMDB) versions up to andincluding 0.9.14, prior to commit 8e1fda8, contain a heap buffer underflowin the readline() function of mdb_load. When processing malformed inputcontaining an embedded NUL byte, an unsigned offset calculation canunderflow and cause an out-of-bounds read of one byte before the allocatedheap buffer. This can cause mdb_load to crash, leading to a limiteddenial-of-service condition.</t>
  </si>
  <si>
    <t>CVE-2026-52948</t>
  </si>
  <si>
    <t>In the Linux kernel, the following vulnerability has been resolved:i2c: dev: prevent integer overflow in I2C_TIMEOUT ioctlWhile fuzzing with Syzkaller, a persistent `schedule_timeout: wrongtimeout value` warning was observed, accompanied by SMBus controllerstate machine corruption.The I2C_TIMEOUT ioctl accepts a user-provided timeout in multiples of10 ms. The user argument is checked against INT_MAX, but it issubsequently multiplied by 10 before being passed to msecs_to_jiffies().A malicious user can pass a large value (e.g., 429496729) that passesthe `arg &gt; INT_MAX` check but overflows when multiplied by 10. Thisresults in a truncated 32-bit unsigned value that bypasses theinternal `(int)m &lt; 0` check in `msecs_to_jiffies()`.The truncated value is then assigned to `client-&gt;adapter-&gt;timeout`(a signed 32-bit int), which is reinterpreted as a negative number.When passed to wait_for_completion_timeout(), this negative valueundergoes sign extension to a 64-bit unsigned long, triggering the`schedule_timeout` warning and causing premature returns. This leavesthe SMBus state machine in an unrecoverable state, constituting alocal Denial of Service (DoS).Fix this by bounding the user argument to `INT_MAX / 10`.[wsa: move the comment as well]</t>
  </si>
  <si>
    <t>CVE-2026-52949</t>
  </si>
  <si>
    <t>In the Linux kernel, the following vulnerability has been resolved:drm/ttm: Fix ttm_bo_shrink() infinite LRU walk on backup failureApply the same fix as b2ed01e7ad ("drm/ttm: Fix ttm_bo_swapout()infinite LRU walk on swapout failure") to the ttm_bo_shrink() path.Move del_bulk_move from before the backup to after success only,using ttm_resource_del_bulk_move_unevictable() since the resourceis now unevictable once fully backed up.</t>
  </si>
  <si>
    <t>CVE-2026-52961</t>
  </si>
  <si>
    <t>In the Linux kernel, the following vulnerability has been resolved:ceph: fix BUG_ON in __ceph_build_xattrs_blob() due to stale blob sizeThe generic/642 test-case can reproduce the kernel crash:[40243.605254] ------------[ cut here ]------------[40243.605956] kernel BUG at fs/ceph/xattr.c:918![40243.607142] Oops: invalid opcode: 0000 [#1] SMP PTI[40243.608067] CPU: 7 UID: 0 PID: 498762 Comm: kworker/7:1 Not tainted7.0.0-rc7+ #3 PREEMPT(full)[40243.609700] Hardware name: QEMU Ubuntu 25.10 PC v2 (i440FX + PIIX, +10.1 machine, 1996), BIOS 1.16.3-debian-1.16.3-2 04/01/2014[40243.611820] Workqueue: ceph-msgr ceph_con_workfn[40243.612715] RIP: 0010:__ceph_build_xattrs_blob+0x1b8/0x1e0[40243.613731] Code: 0f 84 82 fe ff ff e9 cf 8e 56 ff 48 8d 65 e8 31 c0 5b41 5c 41 5d 5d 31 d2 31 c9 31 f6 31 ff 45 31 c0 45 31 c9 c3 cc cc cc cc&lt;0f&gt; 0b 4c 8b 62 08 41 8b 85 24 07 00 00 49 83 c4 04 41 89 44 24 fc[40243.616888] RSP: 0018:ffffcc80c4d4b688 EFLAGS: 00010287[40243.617773] RAX: 0000000000010026 RBX: 0000000000000001 RCX:0000000000000000[40243.618928] RDX: ffff8a773798dee0 RSI: 0000000000000000 RDI:0000000000000000[40243.620158] RBP: ffffcc80c4d4b6a0 R08: 0000000000000000 R09:0000000000000000[40243.621573] R10: 0000000000000000 R11: 0000000000000000 R12:ffff8a75f3b58000[40243.622907] R13: ffff8a75f3b58000 R14: 0000000000000080 R15:000000000000bffd[40243.624054] FS:  0000000000000000(0000) GS:ffff8a787d1b4000(0000)knlGS:0000000000000000[40243.625331] CS:  0010 DS: 0000 ES: 0000 CR0: 0000000080050033[40243.626269] CR2: 000072f390b623c0 CR3: 000000011c02a003 CR4:0000000000372ef0[40243.627408] Call Trace:[40243.627839]  &lt;TASK&gt;[40243.628188]  __prep_cap+0x3fd/0x4a0[40243.628789]  ? do_raw_spin_unlock+0x4e/0xe0[40243.629474]  ceph_check_caps+0x46a/0xc80[40243.630094]  ? __lock_acquire+0x4a2/0x2650[40243.630773]  ? find_held_lock+0x31/0x90[40243.631347]  ? handle_cap_grant+0x79f/0x1060[40243.632068]  ? lock_release+0xd9/0x300[40243.632696]  ? __mutex_unlock_slowpath+0x3e/0x340[40243.633429]  ? lock_release+0xd9/0x300[40243.634052]  handle_cap_grant+0xcf6/0x1060[40243.634745]  ceph_handle_caps+0x122b/0x2110[40243.635415]  mds_dispatch+0x5bd/0x2160[40243.636034]  ? ceph_con_process_message+0x65/0x190[40243.636828]  ? lock_release+0xd9/0x300[40243.637431]  ceph_con_process_message+0x7a/0x190[40243.638184]  ? kfree+0x311/0x4f0[40243.638749]  ? kfree+0x311/0x4f0[40243.639268]  process_message+0x16/0x1a0[40243.639915]  ? sg_free_table+0x39/0x90[40243.640572]  ceph_con_v2_try_read+0xf58/0x2120[40243.641255]  ? lock_acquire+0xc8/0x300[40243.641863]  ceph_con_workfn+0x151/0x820[40243.642493]  process_one_work+0x22f/0x630[40243.643093]  ? process_one_work+0x254/0x630[40243.643770]  worker_thread+0x1e2/0x400[40243.644332]  ? __pfx_worker_thread+0x10/0x10[40243.645020]  kthread+0x109/0x140[40243.645560]  ? __pfx_kthread+0x10/0x10[40243.646125]  ret_from_fork+0x3f8/0x480[40243.646752]  ? __pfx_kthread+0x10/0x10[40243.647316]  ? __pfx_kthread+0x10/0x10[40243.647919]  ret_from_fork_asm+0x1a/0x30[40243.648556]  &lt;/TASK&gt;[40243.648902] Modules linked in: overlay hctr2 libpolyval chacha libchachaadiantum libnh libpoly1305 essiv intel_rapl_msr intel_rapl_commonintel_uncore_frequency_common skx_edac_common nfit kvm_intel kvm irqbypassjoydev ghash_clmulni_intel aesni_intel rapl input_leds mac_hid psmousevga16fb serio_raw vgastate floppy i2c_piix4 pata_acpi bochs qemu_fw_cfgi2c_smbus sch_fq_codel rbd dm_crypt msr parport_pc ppdev lp parportefi_pstore[40243.654766] ---[ end trace 0000000000000000 ]---Commit d93231a6bc8a ("ceph: prevent a client from exceeding the MDSmaximum xattr size") moved the required_blob_size computation to beforethe __build_xattrs() call, introducing a race.__build_xattrs() releases and reacquires i_ceph_lock during execution.In that window, handle_cap_grant() may update i_xattrs.blob with anewer MDS-provided blob and bump i_xattrs.version.  When__bui---truncated---</t>
  </si>
  <si>
    <t>CVE-2026-52962</t>
  </si>
  <si>
    <t>In the Linux kernel, the following vulnerability has been resolved:ceph: fix a buffer leak in __ceph_setxattr()The old_blob in __ceph_setxattr() can storeci-&gt;i_xattrs.prealloc_blob value during the retry.However, it is never called the ceph_buffer_put()for the old_blob object. This patch fixes the issue ofthe buffer leak.</t>
  </si>
  <si>
    <t>CVE-2026-52963</t>
  </si>
  <si>
    <t>In the Linux kernel, the following vulnerability has been resolved:ALSA: usb-audio: Bound MIDI endpoint descriptor scanssnd_usbmidi_get_ms_info() validates the internal MIDIStreaming endpointdescriptor size before using baAssocJackID[], but the descriptor walker canstill return a class-specific endpoint descriptor whose bLength exceeds theremaining bytes in the endpoint-extra scan.That leaves later flexible-array reads bounded by bLength, but not by theremaining bytes in the endpoint-extra scan.Stop walking when bLength is zero orextends past the remaining endpoint-extra scan.</t>
  </si>
  <si>
    <t>CVE-2026-52964</t>
  </si>
  <si>
    <t>In the Linux kernel, the following vulnerability has been resolved:ALSA: usb-audio: Bound MIDI 2.0 endpoint descriptor scansThe USB MIDI 2.0 endpoint parser has the same descriptor walkingpattern as the legacy MIDI parser. It validates bLength againstbNumGrpTrmBlock before reading baAssoGrpTrmBlkID[], but not against theremaining bytes in the endpoint-extra scan.A malformed device can therefore make later baAssoGrpTrmBlkID[] readsconsume bytes past the walked descriptor.Reject zero-length and overlong descriptors while walking endpointextras.</t>
  </si>
  <si>
    <t>CVE-2026-52965</t>
  </si>
  <si>
    <t>In the Linux kernel, the following vulnerability has been resolved:drm/ttm: Fix ttm_bo_swapout() infinite LRU walk on swapout failureWhen ttm_tt_swapout() fails, the current code callsttm_resource_add_bulk_move() followed by ttm_resource_move_to_lru_tail()to restore the resource's bulk_move membership.However, ttm_resource_move_to_lru_tail() places the resource at the tailof the LRU list which, relative to the walk cursor's hitch node (placedimmediately after the resource when it was yielded), puts the resource*in front of the* the hitch. The next list_for_each_entry_continue() fromthe hitch finds the same resource again, causing an infinite loop.Fix by deferring del_bulk_move to the success path only.On the success path, TTM_TT_FLAG_SWAPPED has just been set byttm_tt_swapout() but the resource is still tracked in the bulk_move range,so ttm_resource_del_bulk_move()'s !ttm_resource_unevictable() guard wouldincorrectly skip the removal. Introducettm_resource_del_bulk_move_unevictable() which bypasses that guard.</t>
  </si>
  <si>
    <t>CVE-2026-52968</t>
  </si>
  <si>
    <t>In the Linux kernel, the following vulnerability has been resolved:KVM: s390: pci: fix GAIT table indexing due to double-scaling pointerarithmetickvm_s390_pci_aif_enable(), kvm_s390_pci_aif_disable(), andaen_host_forward() index the GAIT by manually multiplying the indexwith sizeof(struct zpci_gaite).Since aift-&gt;gait is already a struct zpci_gaite pointer, thisdouble-scales the offset, accessing element aisb*16 instead of aisb.This causes out-of-bounds accesses when aisb &gt;= 32 (withZPCI_NR_DEVICES=512)Fix by removing the erroneous sizeof multiplication.</t>
  </si>
  <si>
    <t>CVE-2026-52970</t>
  </si>
  <si>
    <t>In the Linux kernel, the following vulnerability has been resolved:netfilter: nft_ct: fix missing expect put in obj evalnft_ct_expect_obj_eval() allocates an expectation and may callnf_ct_expect_related(), but never drops its local reference.Add nf_ct_expect_put(exp) before return to balance allocation.</t>
  </si>
  <si>
    <t>CVE-2026-52977</t>
  </si>
  <si>
    <t>In the Linux kernel, the following vulnerability has been resolved:futex: Prevent lockup in requeue-PI during signal/ timeout wakeupDuring wait-requeue-pi (task A) and requeue-PI (task B) the followingrace can happen:     Task A                             Task B  futex_wait_requeue_pi()    futex_setup_timer()    futex_do_wait()                                   futex_requeue()                                        CLASS(hb, hb1)(&amp;key1);                                        CLASS(hb, hb2)(&amp;key2);        *timeout*    futex_requeue_pi_wakeup_sync()        requeue_state = Q_REQUEUE_PI_IGNORE    *blocks on hb-&gt;lock*                                        futex_proxy_trylock_atomic()                                          futex_requeue_pi_prepare()                                            Q_REQUEUE_PI_IGNORE =&gt; -EAGAIN                                        double_unlock_hb(hb1, hb2)                                         *retry*Task B acquires both hb locks and attempts to acquire the PI-lock of thetop most waiter (task B). Task A is leaving early due to a signal/timeout and started removing itself from the queue. It updates itsrequeue_state but can not remove it from the list because this requiresthe hb lock which is owned by task B.Usually task A is able to swoop the lock after task B unlocked it.However if task B is of higher priority then task A may not be able towake up in time and acquire the lock before task B gets it again.Especially on a UP system where A is never scheduled.As a result task A blocks on the lock and task B busy loops, trying tomake progress but live locks the system instead. Tragic.This can be fixed by removing the top most waiter from the list in thiscase. This allows task B to grab the next top waiter (if any) in thenext iteration and make progress.Remove the top most waiter if futex_requeue_pi_prepare() fails.Let the waiter conditionally remove itself from the list inhandle_early_requeue_pi_wakeup().</t>
  </si>
  <si>
    <t>CVE-2026-52978</t>
  </si>
  <si>
    <t>In the Linux kernel, the following vulnerability has been resolved:net: psp: require admin permission for dev-set and key-rotateThe dev-set and key-rotate netlink operations modify shared devicestate (PSP version configuration and cryptographic key material,respectively) but do not require CAP_NET_ADMIN. The only accesscontrol is psp_dev_check_access() which merely verifies netnsmembership.</t>
  </si>
  <si>
    <t>CVE-2026-52979</t>
  </si>
  <si>
    <t>In the Linux kernel, the following vulnerability has been resolved:net: psp: check for device unregister when creating assocpsp_assoc_device_get_locked() obtains a psp_dev reference viapsp_dev_get_for_sock() (which uses psp_dev_tryget() under RCU);it then acquires psd-&gt;lock and drops the reference. Beforethe lock is taken, psp_dev_unregister() can run to completion:take psd-&gt;lock, clear out state, unlock, drop the registrationreference.The expectation is that the lock prevents device unregistration,but much like with netdevs special care has to be taken when"upgrading" a reference to a locked device. Add the missingcheck if device is still alive. psp_dev_is_registered() existsalready but had no callers, which makes me wonder if I eitherforgot to add this or lost the check during refactoring...</t>
  </si>
  <si>
    <t>CVE-2026-52980</t>
  </si>
  <si>
    <t>In the Linux kernel, the following vulnerability has been resolved:sched/fair: Clear rel_deadline when initializing forked entitiesA yield-triggered crash can happen when a newly forked sched_entityenters the fair class with se-&gt;rel_deadline unexpectedly set.The failing sequence is:  1. A task is forked while se-&gt;rel_deadline is still set.  2. __sched_fork() initializes vruntime, vlag and other sched_entity     state, but does not clear rel_deadline.  3. On the first enqueue, enqueue_entity() calls place_entity().  4. Because se-&gt;rel_deadline is set, place_entity() treats se-&gt;deadline     as a relative deadline and converts it to an absolute deadline by     adding the current vruntime.  5. However, the forked entity's deadline is not a valid inherited     relative deadline for this new scheduling instance, so the conversion     produces an abnormally large deadline.  6. If the task later calls sched_yield(), yield_task_fair() advances     se-&gt;vruntime to se-&gt;deadline.  7. The inflated vruntime is then used by the following enqueue path,     where the vruntime-derived key can overflow when multiplied by the     entity weight.  8. This corrupts cfs_rq-&gt;sum_w_vruntime, breaks EEVDF eligibility     calculation, and can eventually make all entities appear ineligible.     pick_next_entity() may then return NULL unexpectedly, leading to a     later NULL dereference.A captured trace shows the effect clearly. Before yield, the entity'svruntime was around:  9834017729983308After yield_task_fair() executed:  se-&gt;vruntime = se-&gt;deadlinethe vruntime jumped to:  19668035460670230and the deadline was later advanced further to:  19668035463470230This shows that the deadline had already become abnormally large beforeyield_task_fair() copied it into vruntime.rel_deadline is only meaningful when se-&gt;deadline really carries arelative deadline that still needs to be placed against vruntime. Afreshly forked sched_entity should not inherit or retain this state.Clear se-&gt;rel_deadline in __sched_fork(), together with the othersched_entity runtime state, so that the first enqueue does not interpretthe new entity's deadline as a stale relative deadline.</t>
  </si>
  <si>
    <t>CVE-2026-52984</t>
  </si>
  <si>
    <t>In the Linux kernel, the following vulnerability has been resolved:net/sched: netem: fix queue limit check to include reordered packetsThe queue limit check in netem_enqueue() uses q-&gt;t_len which onlycounts packets in the internal tfifo. Packets placed in sch-&gt;q bythe reorder path (__qdisc_enqueue_head) are not counted, allowingthe total queue occupancy to exceed sch-&gt;limit under reordering.Include sch-&gt;q.qlen in the limit check.</t>
  </si>
  <si>
    <t>CVE-2026-52985</t>
  </si>
  <si>
    <t>In the Linux kernel, the following vulnerability has been resolved:netdevsim: zero initialize struct iphdr in dummy sk_buffSyzbot reports a KMSAN uninit-value originating fromnsim_dev_trap_skb_build, with the allocation alsobeing performed in the same function.Fix this by calling skb_put_zero instead of skb_put toguarantee zero initialization of the whole IP header.</t>
  </si>
  <si>
    <t>CVE-2026-52986</t>
  </si>
  <si>
    <t>In the Linux kernel, the following vulnerability has been resolved:netfilter: nf_conntrack_sip: don't use simple_strtoulReplace unsafe port parsing in epaddr_len(), ct_sip_parse_header_uri(),and ct_sip_parse_request() with a new sip_parse_port() helper thatvalidates each digit against the buffer limit, eliminating the use ofsimple_strtoul() which assumes NUL-terminated strings.The previous code dereferenced pointers without bounds checks aftersip_parse_addr() and relied on simple_strtoul() on non-NUL-terminatedskb data. A port that reaches the buffer limit without a trailingcharacter is also rejected as malformed.Also get rid of all simple_strtoul() usage in conntrack, prefer astricter version instead.  There are intentional changes:- Bail out if number is &gt; UINT_MAX and indicate a failure, same for  too long sequences.  While we do accept 05535 as port 5535, we will not accept e.g.  'sip:10.0.0.1:005060'.  While its syntactically valid under RFC 3261,  we should restrict this to not waste cycles when presented with  malformed packets with 64k '0' characters.- Force base 10 in ct_sip_parse_numerical_param(). This is used to fetch  'expire=' and 'rports='; both are expected to use base-10.- In nf_nat_sip.c, only accept the parsed value if its within the 1k-64k  range.- epaddr_len now returns 0 if the port is invalid, as it already does  for invalid ip addresses.  This is intentional. nf_conntrack_sip  performs lots of guesswork to find the right parts of the message  to parse.  Being stricter could break existing setups.  Connection tracking helpers are designed to allow traffic to  pass, not to block it.Based on an earlier patch from Jenny Guanni Qu &lt;qguanni@gmail.com&gt;.</t>
  </si>
  <si>
    <t>CVE-2026-52989</t>
  </si>
  <si>
    <t>In the Linux kernel, the following vulnerability has been resolved:nvmet-tcp: propagate nvmet_tcp_build_pdu_iovec() errors to its callersCurrently, when nvmet_tcp_build_pdu_iovec() detects an out-of-boundsPDU length or offset, it triggers nvmet_tcp_fatal_error(cmd-&gt;queue)and returns early. However, because the function returns void, thecallers are entirely unaware that a fatal error has occurred andthat the cmd-&gt;recv_msg.msg_iter was left uninitialized.Callers such as nvmet_tcp_handle_h2c_data_pdu() proceed to blindlyoverwrite the queue state with queue-&gt;rcv_state = NVMET_TCP_RECV_DATAConsequently, the socket receiving loop may attempt to read incomingnetwork data into the uninitialized iterator.Fix this by shifting the error handling responsibility to the callers.</t>
  </si>
  <si>
    <t>CVE-2026-52990</t>
  </si>
  <si>
    <t>In the Linux kernel, the following vulnerability has been resolved:fsnotify: fix inode reference leak in fsnotify_recalc_mask()fsnotify_recalc_mask() fails to handle the return value of__fsnotify_recalc_mask(), which may return an inode pointer that needsto be released via fsnotify_drop_object() when the connector's HAS_IREFflag transitions from set to cleared.This manifests as a hung task with the following call trace:  INFO: task umount:1234 blocked for more than 120 seconds.  Call Trace:   __schedule   schedule   fsnotify_sb_delete   generic_shutdown_super   kill_anon_super   cleanup_mnt   task_work_run   do_exit   do_group_exitThe race window that triggers the iref leak:  Thread A (adding mark)              Thread B (removing mark)  ──────────────────────              ────────────────────────  fsnotify_add_mark_locked():    fsnotify_add_mark_list():      spin_lock(conn-&gt;lock)      add mark_B(evictable) to list      spin_unlock(conn-&gt;lock)    return    /* ---- gap: no lock held ---- */                                      fsnotify_detach_mark(mark_A):                                        spin_lock(mark_A-&gt;lock)                                        clear ATTACHED flag on mark_A                                        spin_unlock(mark_A-&gt;lock)                                        fsnotify_put_mark(mark_A)    fsnotify_recalc_mask():      spin_lock(conn-&gt;lock)      __fsnotify_recalc_mask():        /* mark_A skipped: ATTACHED cleared */        /* only mark_B(evictable) remains */        want_iref = false        has_iref = true  /* not yet cleared */        -&gt; HAS_IREF transitions true -&gt; false        -&gt; returns inode pointer      spin_unlock(conn-&gt;lock)      /* BUG: return value discarded!       * iput() and fsnotify_put_sb_watched_objects()       * are never called */Fix this by deferring the transition true -&gt; false of HAS_IREF flag fromfsnotify_recalc_mask() (Thread A) to fsnotify_put_mark() (thread B).</t>
  </si>
  <si>
    <t>CVE-2026-52992</t>
  </si>
  <si>
    <t>In the Linux kernel, the following vulnerability has been resolved:fs/adfs: validate nzones in adfs_validate_bblk()Reject ADFS disc records with a zero zone count during boot blockvalidation, before the disc record is used.When nzones is 0, adfs_read_map() passes it to kmalloc_array(0, ...)which returns ZERO_SIZE_PTR, and adfs_map_layout() then writes todm[-1], causing an out-of-bounds write before the allocated buffer.adfs_validate_dr0() already rejects nzones != 1 for old-formatimages.  Add the equivalent check to adfs_validate_bblk() fornew-format images so that a crafted image with nzones == 0 isrejected at probe time.Found by syzkaller.</t>
  </si>
  <si>
    <t>CVE-2026-52993</t>
  </si>
  <si>
    <t>In the Linux kernel, the following vulnerability has been resolved:tipc: fix double-free in tipc_buf_append()tipc_msg_validate() can potentially reallocate the skb it is validating,freeing the old one.  In tipc_buf_append(), it was being called with apointer to a local variable which was a copy of the caller's skbpointer.If the skb was reallocated and validation subsequently failed, the errorhandling path would free the original skb pointer, which had alreadybeen freed, leading to double-free.Fix this by checking if head now points to a newly allocated reassembledskb.  If it does, reassign *headbuf for later freeing operations.</t>
  </si>
  <si>
    <t>CVE-2026-52994</t>
  </si>
  <si>
    <t>In the Linux kernel, the following vulnerability has been resolved:vsock/virtio: fix MSG_ZEROCOPY pinned-pages accountingvirtio_transport_init_zcopy_skb() uses iter-&gt;count as the size argumentfor msg_zerocopy_realloc(), which in turn passes it tomm_account_pinned_pages() for RLIMIT_MEMLOCK accounting. However, thisfunction is called after virtio_transport_fill_skb() has already consumedthe iterator via __zerocopy_sg_from_iter(), so on the last skb, iter-&gt;countwill be 0, skipping the RLIMIT_MEMLOCK enforcement.Pass pkt_len (the total bytes being sent) as an explicit parameter tovirtio_transport_init_zcopy_skb() instead of reading the already-consumediter-&gt;count.This matches TCP and UDP, which both call msg_zerocopy_realloc() withthe original message size.</t>
  </si>
  <si>
    <t>CVE-2026-52995</t>
  </si>
  <si>
    <t>In the Linux kernel, the following vulnerability has been resolved:net/rds: zero per-item info buffer before handing it to visitorsrds_for_each_conn_info() and rds_walk_conn_path_info() both hand acaller-allocated on-stack u64 buffer to a per-connection visitor andthen copy the full item_len bytes back to user space viards_info_copy() regardless of how much of the buffer the visitoractually wrote.rds_ib_conn_info_visitor() and rds6_ib_conn_info_visitor() onlywrite a subset of their output struct when the underlyingrds_connection is not in state RDS_CONN_UP (src/dst addr, tos, sland the two GIDs via explicit memsets). Several u32 fields(max_send_wr, max_recv_wr, max_send_sge, rdma_mr_max, rdma_mr_size,cache_allocs) and the 2-byte alignment hole between sl andcache_allocs remain as whatever stack contents preceded the visitorcall and are then memcpy_to_user()'d out to user space.struct rds_info_rdma_connection and struct rds6_info_rdma_connectionare the only rds_info_* structs in include/uapi/linux/rds.h that arenot marked __attribute__((packed)), so they have a real alignmenthole. The other info visitors (rds_conn_info_visitor,rds6_conn_info_visitor, rds_tcp_tc_info, ...) write all fields oftheir packed output struct today and are not known to be vulnerable,but a future visitor that adds a conditional write-path would havethe same bug.Reproduction on a kernel built without CONFIG_INIT_STACK_ALL_ZERO=y:a local unprivileged user opens AF_RDS, sets SO_RDS_TRANSPORT=IB,binds to a local address on an RDMA-capable netdev (rxe soft-RoCE onany netdev is sufficient), sendto()'s any peer on the same subnet(fails cleanly but installs an rds_connection in the global hash inRDS_CONN_CONNECTING), then calls getsockopt(SOL_RDS,RDS_INFO_IB_CONNECTIONS). The returned 68-byte item contains 26bytes of stack garbage including kernel text/data pointers:    0..7   0a 63 00 01 0a 63 00 02     src=10.99.0.1 dst=10.99.0.2    8..39  00 ...                      gids (memset-zeroed)    40..47 e0 92 a3 81 ff ff ff ff     kernel pointer (max_send_wr)    48..55 7f 37 b5 81 ff ff ff ff     kernel pointer (rdma_mr_max)    56..59 01 00 08 00                 rdma_mr_size (garbage)    60..61 00 00                       tos, sl    62..63 00 00                       alignment padding    64..67 18 00 00 00                 cache_allocs (garbage)Fix by zeroing the per-item buffer in both rds_for_each_conn_info()and rds_walk_conn_path_info() before invoking the visitor. Thiscovers the IPv4/IPv6 IB visitors and hardens all current and futurevisitors against the same class of bug.No functional change for visitors that fully populate their output.Changes in v2:- retarget at the net tree (subject prefix "[PATCH net v2]",  net/rds: prefix in the title)- pick up Reviewed-by tags from Sharath Srinivasan and  Allison Henderson</t>
  </si>
  <si>
    <t>CVE-2026-52996</t>
  </si>
  <si>
    <t>In the Linux kernel, the following vulnerability has been resolved:ksmbd: fix durable fd leak on ClientGUID mismatch in durable v2 openksmbd_lookup_fd_cguid() returns a ksmbd_file with its refcountincremented via ksmbd_fp_get(). parse_durable_handle_context() inthe DURABLE_REQ_V2 case properly releases this reference on everypath inside the ClientGUID-match branch, either by callingksmbd_put_durable_fd() or by transferring ownership to dh_info-&gt;fpfor a successful reconnect. However, when an entry exists in theglobal file table with the same CreateGuid but a differentClientGUID, the code simply falls through to the new-open pathwithout dropping the reference obtained from ksmbd_lookup_fd_cguid().Per MS-SMB2 section 3.3.5.9.10 ("Handling theSMB2_CREATE_DURABLE_HANDLE_REQUEST_V2 Create Context"), the serverMUST locate an Open whose Open.CreateGuid matches the request'sCreateGuid AND whose Open.ClientGuid matches the ClientGuid of theconnection that received the request. If no such Open is found, theserver MUST continue with the normal open execution phase. ACreateGuid hit with a ClientGUID mismatch is therefore the"Open not found" case: proceeding with a new open is correct, butthe reference obtained purely as a side effect of the lookup mustnot be leaked.Repeated requests that hit this mismatch pin global_ft entries,prevent __ksmbd_close_fd() from ever running for the correspondingfiles, and defeat the durable scavenger, leading to long-livedresource leaks.Release the reference in the mismatch path and clear dh_info-&gt;fp sosubsequent logic does not mistake a non-matching lookup result fora reconnect target.</t>
  </si>
  <si>
    <t>CVE-2026-52997</t>
  </si>
  <si>
    <t>In the Linux kernel, the following vulnerability has been resolved:net/sched: sch_dualpi2: drain both C-queue and L-queue in dualpi2_change()Fix dualpi2_change() to correctly enforce updated limit and memlimitvalues after a configuration change of the dualpi2 qdisc.Before this patch, dualpi2_change() always attempted to dequeue packetsvia the root qdisc (C-queue) when reducing backlog or memory usage, andunconditionally assumed that a valid skb will be returned. When trafficclassification results in packets being queued in the L-queue while theC-queue is empty, this leads to a NULL skb dereference during limit ormemlimit enforcement.This is fixed by first dequeuing from the C-queue path if it isnon-empty. Once the C-queue is empty, packets are dequeued directly fromthe L-queue. Return values from qdisc_dequeue_internal() are checked forboth queues. When dequeuing from the L-queue, the parent qdisc qlen andbacklog counters are updated explicitly to keep overall qdisc statisticsconsistent.</t>
  </si>
  <si>
    <t>CVE-2026-52999</t>
  </si>
  <si>
    <t>In the Linux kernel, the following vulnerability has been resolved:netfilter: nfnetlink_osf: fix out-of-bounds read on option matchingIn nf_osf_match(), the nf_osf_hdr_ctx structure is initialized onceand passed by reference to nf_osf_match_one() for each fingerprintchecked. During TCP option parsing, nf_osf_match_one() advances theshared ctx-&gt;optp pointer.If a fingerprint perfectly matches, the function returns early withoutrestoring ctx-&gt;optp to its initial state. If the user has configuredNF_OSF_LOGLEVEL_ALL, the loop continues to the next fingerprint.However, because ctx-&gt;optp was not restored, the next call tonf_osf_match_one() starts parsing from the end of the options buffer.This causes subsequent matches to read garbage data and failimmediately, making it impossible to log more than one match or loggingincorrect matches.Instead of using a shared ctx-&gt;optp pointer, pass the context as aconstant pointer and use a local pointer (optp) for TCP optiontraversal. This makes nf_osf_match_one() strictly stateless from thecaller's perspective, ensuring every fingerprint check starts at thecorrect option offset.</t>
  </si>
  <si>
    <t>CVE-2026-53001</t>
  </si>
  <si>
    <t>In the Linux kernel, the following vulnerability has been resolved:netfilter: xtables: restrict several matches to inet familyThis is a partial revert of:  commit ab4f21e6fb1c ("netfilter: xtables: use NFPROTO_UNSPEC in moreextensions")to allow ipv4 and ipv6 only.- xt_mac- xt_owner- xt_physdevThese extensions are not used by ebtables in userspace.Moreover, xt_realm is only for ipv4, since dst-&gt;tclassid is ipv4specific.</t>
  </si>
  <si>
    <t>CVE-2026-53002</t>
  </si>
  <si>
    <t>In the Linux kernel, the following vulnerability has been resolved:netfilter: conntrack: remove sprintf usageReplace it with scnprintf, the buffer sizes are expected to be large enoughto hold the result, no need for snprintf+overflow check.Increase buffer size in mangle_content_len() while at it.BUG: KASAN: stack-out-of-bounds in vsnprintf+0xea5/0x1270Write of size 1 at addr [..] vsnprintf+0xea5/0x1270 sprintf+0xb1/0xe0 mangle_content_len+0x1ac/0x280 nf_nat_sdp_session+0x1cc/0x240 process_sdp+0x8f8/0xb80 process_invite_request+0x108/0x2b0 process_sip_msg+0x5da/0xf50 sip_help_tcp+0x45e/0x780 nf_confirm+0x34d/0x990 [..]</t>
  </si>
  <si>
    <t>CVE-2026-53004</t>
  </si>
  <si>
    <t>In the Linux kernel, the following vulnerability has been resolved:sctp: fix OOB write to userspace in sctp_getsockopt_peer_auth_chunkssctp_getsockopt_peer_auth_chunks() checks that the caller's optvalbuffer is large enough for the peer AUTH chunk list with    if (len &lt; num_chunks)            return -EINVAL;but then writes num_chunks bytes to p-&gt;gauth_chunks, which livesat offset offsetof(struct sctp_authchunks, gauth_chunks) == 8inside optval.  The check is missing the sizeof(structsctp_authchunks) = 8-byte header.  When the caller supplieslen == num_chunks (for any num_chunks &gt; 0) the test passes butcopy_to_user() writes sizeof(struct sctp_authchunks) = 8 bytespast the declared buffer.The sibling function sctp_getsockopt_local_auth_chunks() at thenext line already has the correct check:    if (len &lt; sizeof(struct sctp_authchunks) + num_chunks)            return -EINVAL;Align the peer variant with its sibling.Reproducer confirms on v7.0-13-generic: an unprivileged userspacecaller that opens a loopback SCTP association with AUTH enabled,queries num_chunks with a short optval, then issues the realgetsockopt with len == num_chunks and sentinel bytes painted pastthe buffer observes those sentinel bytes overwritten with thepeer's AUTH chunk type.  The bytes written are under the peer'scontrol but land in the caller's own userspace; this is not akernel memory corruption, but it is a kernel-side contractviolation that can silently corrupt adjacent userspace data.</t>
  </si>
  <si>
    <t>CVE-2026-53006</t>
  </si>
  <si>
    <t>In the Linux kernel, the following vulnerability has been resolved:ipv6: fix possible UAF in icmpv6_rcv()Caching saddr and daddr before pskb_pull() is problematicsince skb-&gt;head can change.Remove these temporary variables:- We only access &amp;ipv6_hdr(skb)-&gt;saddr and &amp;ipv6_hdr(skb)-&gt;daddr  when net_dbg_ratelimited() is called in the slow path.- Avoid potential future misuse after pskb_pull() call.</t>
  </si>
  <si>
    <t>CVE-2026-53007</t>
  </si>
  <si>
    <t>In the Linux kernel, the following vulnerability has been resolved:ice: fix potential NULL pointer deref in error path of ice_set_ringparam()ice_set_ringparam nullifies tstamp_ring of temporary tx_rings, withoutclearing ICE_TX_RING_FLAGS_TXTIME bit.When ICE_TX_RING_FLAGS_TXTIME is set and the subsequentice_setup_tx_ring() call fails, a NULL pointer dereference could happenin the unwinding sequence:ice_clean_tx_ring()-&gt; ice_is_txtime_cfg() == true (ICE_TX_RING_FLAGS_TXTIME is set)-&gt; ice_free_tx_tstamp_ring()  -&gt; ice_free_tstamp_ring()    -&gt; tstamp_ring-&gt;desc (NULL deref)Clear ICE_TX_RING_FLAGS_TXTIME bit to avoid the potential issue.Note that this potential issue is found by manual code review.Compile test only since unfortunately I don't have E830 devices.</t>
  </si>
  <si>
    <t>CVE-2026-53008</t>
  </si>
  <si>
    <t>In the Linux kernel, the following vulnerability has been resolved:ice: fix race condition in TX timestamp ring cleanupFix a race condition between ice_free_tx_tstamp_ring() and ice_tx_map()that can cause a NULL pointer dereference.ice_free_tx_tstamp_ring currently clears the ICE_TX_FLAGS_TXTIME flagafter NULLing the tstamp_ring. This could allow a concurrent ice_tx_mapcall on another CPU to dereference the tstamp_ring, which could lead toa NULL pointer dereference.  CPU A:ice_free_tx_tstamp_ring() | CPU B:ice_tx_map()  --------------------------------|---------------------------------  tx_ring-&gt;tstamp_ring = NULL     |                                  | ice_is_txtime_cfg() -&gt; true                                  | tstamp_ring = tx_ring-&gt;tstamp_ring                                  | tstamp_ring-&gt;count  // NULL deref!  flags &amp;= ~ICE_TX_FLAGS_TXTIME   |Fix by:1. Reordering ice_free_tx_tstamp_ring() to clear the flag before   NULLing the pointer, with smp_wmb() to ensure proper ordering.2. Adding smp_rmb() in ice_tx_map() after the flag check to order the   flag read before the pointer read, using READ_ONCE() for the   pointer, and adding a NULL check as a safety net.3. Converting tx_ring-&gt;flags from u8 to DECLARE_BITMAP() and using   atomic bitops (set_bit(), clear_bit(), test_bit()) for all flag   operations throughout the driver:   - ICE_TX_RING_FLAGS_XDP   - ICE_TX_RING_FLAGS_VLAN_L2TAG1   - ICE_TX_RING_FLAGS_VLAN_L2TAG2   - ICE_TX_RING_FLAGS_TXTIME</t>
  </si>
  <si>
    <t>CVE-2026-53010</t>
  </si>
  <si>
    <t>In the Linux kernel, the following vulnerability has been resolved:ksmbd: fix use-after-free in smb2_open during durable reconnectIn smb2_open, the call to ksmbd_put_durable_fd(fp) drops the referenceto the durable file descriptor early during the durable reconnectprocess. If an error occurs subsequently (eg, ksmbd_iov_pin_rsp fails)or a scavenger accesses the file, it leads to a use-after-free whenaccessing fp properties (eg fp-&gt;create_time).Move the single put to the end of the function below err_out2 so fpstays valid until smb2_open returns.</t>
  </si>
  <si>
    <t>CVE-2026-53012</t>
  </si>
  <si>
    <t>In the Linux kernel, the following vulnerability has been resolved:nexthop: fix IPv6 route referencing IPv4 nexthopsyzbot reported a panic [1] [2].When an IPv6 nexthop is replaced with an IPv4 nexthop, the has_v4 flagof all groups containing this nexthop is not updated. This is becausenh_group_v4_update is only called when replacing AF_INET to AF_INET6,but the reverse direction (AF_INET6 to AF_INET) is missed.This allows a stale has_v4=false to bypass fib6_check_nexthop, causingIPv6 routes to be attached to groups that effectively contain only AF_INETmembers. Subsequent route lookups then call nexthop_fib6_nh() whichreturns NULL for the AF_INET member, leading to a NULL pointerdereference.Fix by calling nh_group_v4_update whenever the family changes, not justAF_INET to AF_INET6.Reproducer:# AF_INET6 blackholeip -6 nexthop add id 1 blackhole# group with has_v4=falseip nexthop add id 100 group 1# replace with AF_INET (no -6), has_v4 stays falseip nexthop replace id 1 blackhole# pass stale has_v4 checkip -6 route add 2001:db8::/64 nhid 100# panicping -6 2001:db8::1[1]https://syzkaller.appspot.com/bug?id=e17283eb2f8dcf3dd9b47fe6f67a95f71faadad0[2]https://syzkaller.appspot.com/bug?id=8699b6ae54c9f35837d925686208402949e12ef3</t>
  </si>
  <si>
    <t>CVE-2026-53013</t>
  </si>
  <si>
    <t>In the Linux kernel, the following vulnerability has been resolved:macvlan: fix macvlan_get_size() not reserving space forIFLA_MACVLAN_BC_CUTOFFmacvlan_get_size() does not account for IFLA_MACVLAN_BC_CUTOFF, butmacvlan_fill_info() conditionally includes it when port-&gt;bc_cutoff != 1.This causes nla_put_s32() to fail with -EMSGSIZE when the netlink skbruns out of space, triggering a WARN_ON in rtnetlink and preventing theinterface from being dumped.The bug can be reproduced with:  ip link add macvlan0 link eth0 type macvlan mode bridge  ip link set macvlan0 type macvlan bc_cutoff 0  ip -d link show macvlan0   # fails with -EMSGSIZEThe bc_cutoff feature was added in commit 954d1fa1ac93 ("macvlan: Addnetlink attribute for broadcast cutoff"), which added the nla_put_s32()call in macvlan_fill_info() but missed adding the correspondingnla_total_size(4) in macvlan_get_size(). A follow-up commit55cef78c244d ("macvlan: add forgotten nla_policy forIFLA_MACVLAN_BC_CUTOFF") fixed the missing nla_policy entry but stilldid not fix the size calculation.</t>
  </si>
  <si>
    <t>CVE-2026-53014</t>
  </si>
  <si>
    <t>In the Linux kernel, the following vulnerability has been resolved:net/sched: act_mirred: fix wrong device for mac_header_xmit check intcf_blockcast_redirIn tcf_blockcast_redir(), when iterating block ports to redirectpackets to multiple devices, the mac_header_xmit flag is queriedfrom the wrong device. The loop sends to dev_prev but queriesdev_is_mac_header_xmit(dev) — which is the NEXT device in theiteration, not the one being sent to.This causes tcf_mirred_to_dev() to make incorrect decisions aboutwhether to push or pull the MAC header. When the block containsmixed device types (e.g., an ethernet veth and a tunnel device),intermediate devices get the wrong mac_header_xmit flag, leading toskb header corruption. In the worst case, skb_push_rcsum with anincorrect mac_len can exhaust headroom and panic.The last device in the loop is handled correctly (line 365-366 usesdev_is_mac_header_xmit(dev_prev)), confirming this is a copy-pasteoversight for the intermediate devices.Fix by using dev_prev instead of dev for the mac_header_xmit query,consistent with the device actually being sent to.</t>
  </si>
  <si>
    <t>CVE-2026-53015</t>
  </si>
  <si>
    <t>In the Linux kernel, the following vulnerability has been resolved:erofs: unify lcn as u64 for 32-bit platformsAs sashiko reported [1], `lcn` was typed as `unsigned long` (or`unsigned int` sometimes), which is only 32 bits wide on 32-bitplatforms, which causes `(lcn &lt;&lt; lclusterbits)` to be truncatedat 4 GiB.In order to consolidate the logic, just use `u64` consistentlyaround the codebase.[1]https://sashiko.dev/r/20260420034612.1899973-1-hsiangkao%40linux.alibaba.com</t>
  </si>
  <si>
    <t>CVE-2026-53017</t>
  </si>
  <si>
    <t>In the Linux kernel, the following vulnerability has been resolved:f2fs: fix data loss caused by incorrect use of nat_entry flagData loss can occur when fsync is performed on a newly created file(before any checkpoint has been written) concurrently with a checkpointoperation. The scenario is as follows:create &amp; write &amp; fsync 'file A'                 write checkpoint- f2fs_do_sync_file // inline inode - f2fs_write_inode // inode folio is dirty                                                - f2fs_write_checkpoint                                                 - f2fs_flush_merged_writes                                                 - f2fs_sync_node_pages                                                 - f2fs_flush_nat_entries - f2fs_fsync_node_pages // no dirty node - f2fs_need_inode_block_update // return false SPO and lost 'file A'f2fs_flush_nat_entries() sets the IS_CHECKPOINTED and HAS_LAST_FSYNCflags for the nat_entry, but this does not mean that the checkpoint hasactually completed successfully. However, f2fs_need_inode_block_update()checks these flags and incorrectly assumes that the checkpoint hasfinished.The root cause is that the semantics of IS_CHECKPOINTED andHAS_LAST_FSYNC are only guaranteed after the checkpoint write fullycompletes.This patch modifies f2fs_need_inode_block_update() to acquire thesbi-&gt;node_write lock before reading the nat_entry flags, ensuring thatonce IS_CHECKPOINTED and HAS_LAST_FSYNC are observed to be set, thecheckpoint operation has already completed.</t>
  </si>
  <si>
    <t>CVE-2026-53018</t>
  </si>
  <si>
    <t>In the Linux kernel, the following vulnerability has been resolved:f2fs: avoid reading already updated pages during GCWe found the following issue during fuzz testing:page: refcount:3 mapcount:0 mapping:00000000b6e89c65 index:0x18b2dcpfn:0x161ba9memcg:f8ffff800e269c00aops:f2fs_meta_aops ino:2flags:0x52880000000080a9(locked|waiters|uptodate|lru|private|zone=1|kasantag=0x4a)raw: 52880000000080a9 fffffffec6e17588 fffffffec0ccc088 a7ffff8067063618raw: 000000000018b2dc 0000000000000009 00000003ffffffff f8ffff800e269c00page dumped because: VM_BUG_ON_FOLIO(folio_test_uptodate(folio))page_owner tracks the page as allocated post_alloc_hook+0x58c/0x5ec prep_new_page+0x34/0x284 get_page_from_freelist+0x2dcc/0x2e8c __alloc_pages_noprof+0x280/0x76c __folio_alloc_noprof+0x18/0xac __filemap_get_folio+0x6bc/0xdc4 pagecache_get_page+0x3c/0x104 do_garbage_collect+0x5c78/0x77a4 f2fs_gc+0xd74/0x25f0 gc_thread_func+0xb28/0x2930 kthread+0x464/0x5d8 ret_from_fork+0x10/0x20------------[ cut here ]------------kernel BUG at mm/filemap.c:1563! folio_end_read+0x140/0x168 f2fs_finish_read_bio+0x5c4/0xb80 f2fs_read_end_io+0x64c/0x708 bio_endio+0x85c/0x8c0 blk_update_request+0x690/0x127c scsi_end_request+0x9c/0xb8c scsi_io_completion+0xf0/0x250 scsi_finish_command+0x430/0x45c scsi_complete+0x178/0x6d4 blk_mq_complete_request+0xcc/0x104 scsi_done_internal+0x214/0x454 scsi_done+0x24/0x34which is similar to the problem reported by syzbot:https://syzkaller.appspot.com/bug?extid=3686758660f980b402dcThis case is consistent with the description in commit 9bf1a3f("f2fs: avoid GC causing encrypted file corrupted"):Page 1 is moved from blkaddr A to blkaddr B by move_data_block, and afterbeing written it is marked as uptodate. Then, Page 1 is moved from blkaddrB to blkaddr C, VM_BUG_ON_FOLIO was triggered in the endio initiated byra_data_block.There is no need to read Page 1 again from blkaddr B, since it has alreadybeen updated. Therefore, avoid initiating I/O in this case.</t>
  </si>
  <si>
    <t>CVE-2026-53019</t>
  </si>
  <si>
    <t>In the Linux kernel, the following vulnerability has been resolved:clk: spacemit: ccu_mix: fix inverted condition in ccu_mix_trigger_fc()Fix inverted condition that skips frequency change trigger,causing kernel panics during cpufreq scaling.</t>
  </si>
  <si>
    <t>CVE-2026-53021</t>
  </si>
  <si>
    <t>In the Linux kernel, the following vulnerability has been resolved:scsi: target: core: Fix integer overflow in UNMAP bounds checksbc_execute_unmap() checks LBA + range does not exceed the device capacity,but does not guard against LBA + range wrapping around on 64-bit overflow.Add an overflow check matching the pattern already used for WRITE_SAME inthe same file.</t>
  </si>
  <si>
    <t>CVE-2026-53022</t>
  </si>
  <si>
    <t>In the Linux kernel, the following vulnerability has been resolved:platform/x86: dell-wmi-sysman: bound enumeration string aggregationpopulate_enum_data() aggregates firmware-provided value-modifierand possible-value strings into fixed 512-byte struct members.The current code bounds each individual source string but thenappends every string and separator with raw strcat() and noremaining-space check.Switch the aggregation loops to a bounded append helper andreject enumeration packages whose combined strings do not fitin the destination buffers.[ij: add include]</t>
  </si>
  <si>
    <t>CVE-2026-53023</t>
  </si>
  <si>
    <t>In the Linux kernel, the following vulnerability has been resolved:fs/ntfs3: terminate the cached volume label after UTF-8 conversionntfs_fill_super() loads the on-disk volume label with utf16s_to_utf8s()and stores the result in sbi-&gt;volume.label. The converted label is laterexposed through ntfs3_label_show() using %s, but utf16s_to_utf8s() onlyreturns the number of bytes written and does not add a trailing NUL.If the converted label fills the entire fixed buffer,ntfs3_label_show() can read past the end of sbi-&gt;volume.label whilelooking for a terminator.Terminate the cached label explicitly after a successful conversion andclamp the exact-full case to the last byte of the buffer.</t>
  </si>
  <si>
    <t>CVE-2026-53027</t>
  </si>
  <si>
    <t>In the Linux kernel, the following vulnerability has been resolved:fs/ntfs3: fix missing run load for vcn0 in attr_data_get_block_locked()When a compressed or sparse attribute has its clusters frame-aligned,vcn is rounded down to the frame start using cmask, which can resultin vcn != vcn0. In this case, vcn and vcn0 may reside in differentattribute segments.The code already handles the case where vcn is in a different segmentby loading its runs before allocation. However, it fails to load runsfor vcn0 when vcn0 resides in a different segment than vcn. This causesrun_lookup_entry() to return SPARSE_LCN for vcn0 since its segment wasnever loaded into the in-memory run list, triggering the WARN_ON(1).Fix this by adding a missing check for vcn0 after the existing vcnsegment check. If vcn0 falls outside the current segment range[svcn, evcn1), find and load the attribute segment containing vcn0before performing the run lookup.The following scenario triggers the bug:  attr_data_get_block_locked()    vcn = vcn0 &amp; cmask        &lt;- vcn != vcn0 after frame alignment    load runs for vcn segment &lt;- vcn0 segment not loaded!    attr_allocate_clusters()  &lt;- allocation succeeds    run_lookup_entry(vcn0)    &lt;- vcn0 not in run -&gt; SPARSE_LCN    WARN_ON(1)                &lt;- bug fires here!</t>
  </si>
  <si>
    <t>CVE-2026-53028</t>
  </si>
  <si>
    <t>In the Linux kernel, the following vulnerability has been resolved:usb: typec: Fix error pointer dereferenceThe variable tps-&gt;partner is checked for an error pointer and then if itis, it sends an error message but does not return and then immediatelydereferenced a few lines below:tps-&gt;partner = typec_register_partner(tps-&gt;port, &amp;desc);if (IS_ERR(tps-&gt;partner))dev_warn(tps-&gt;dev, "%s: failed to register partnet\n", __func__);if (desc.identity) {typec_partner_set_identity(tps-&gt;partner);cd321x-&gt;cur_partner_identity = st.partner_identity;}Add early return and fix spelling mistake in error message.Detected by Smatch:drivers/usb/typec/tipd/core.c:827 cd321x_update_work() error:'tps-&gt;partner' dereferencing possible ERR_PTR()</t>
  </si>
  <si>
    <t>CVE-2026-53029</t>
  </si>
  <si>
    <t>In the Linux kernel, the following vulnerability has been resolved:fs/ntfs3: prevent uninitialized lcn caused by zero lensyzbot reported a uninit-value in ntfs_iomap_begin [1].Since runs was not touched yet, run_lookup_entry() immediately failsand returns false, which makes the value of "*len" 0.Simultaneously, the new value and err value are also 0, causing thelogic in attr_data_get_block_locked() to jump directly to ok, ultimatelyresulting in *lcn being triggered before it is set [1].In ntfs_iomap_begin(), the check for a 0 value in clen is moved forwardto before updating lcn to avoid this [1].[1]BUG: KMSAN: uninit-value in ntfs_iomap_begin+0x8c0/0x1460fs/ntfs3/inode.c:825 ntfs_iomap_begin+0x8c0/0x1460 fs/ntfs3/inode.c:825 iomap_iter+0x9b7/0x1540 fs/iomap/iter.c:110Local variable lcn created at: ntfs_iomap_begin+0x15d/0x1460 fs/ntfs3/inode.c:786</t>
  </si>
  <si>
    <t>CVE-2026-53030</t>
  </si>
  <si>
    <t>In the Linux kernel, the following vulnerability has been resolved:i3c: master: renesas: Fix memory leak in renesas_i3c_i3c_xfers()The xfer structure allocated by renesas_i3c_alloc_xfer() was never freedin the renesas_i3c_i3c_xfers() function. Use the __free(kfree) cleanupattribute to automatically free the memory when the variable goes out ofscope.</t>
  </si>
  <si>
    <t>CVE-2026-53031</t>
  </si>
  <si>
    <t>In the Linux kernel, the following vulnerability has been resolved:bpf: Validate node_id in arena_alloc_pages()arena_alloc_pages() accepts a plain int node_id and forwards it throughthe entire allocation chain without any bounds checking.Validate node_id before passing it down the allocation chain inarena_alloc_pages().</t>
  </si>
  <si>
    <t>CVE-2026-53032</t>
  </si>
  <si>
    <t>In the Linux kernel, the following vulnerability has been resolved:bpf: Fix NULL deref in map_kptr_match_type for scalar regsCommit ab6c637ad027 ("bpf: Fix a bpf_kptr_xchg() issue with localkptr") refactored map_kptr_match_type() to branch on btf_is_kernel()before checking base_type(). A scalar register stored into a kptrslot has no btf, so the btf_is_kernel(reg-&gt;btf) call dereferencesNULL.Move the base_type() != PTR_TO_BTF_ID guard before any reg-&gt;btfaccess.</t>
  </si>
  <si>
    <t>CVE-2026-53033</t>
  </si>
  <si>
    <t>In the Linux kernel, the following vulnerability has been resolved:bpf, sockmap: Take state lock for af_unix iterWhen a BPF iterator program updates a sockmap, there is a race condition inunix_stream_bpf_update_proto() where the `peer` pointer can become stale[1]during a state transition TCP_ESTABLISHED -&gt; TCP_CLOSE.        CPU0 bpf                          CPU1 close        --------                          ----------// unix_stream_bpf_update_proto()sk_pair = unix_peer(sk)if (unlikely(!sk_pair))   return -EINVAL;                                     // unix_release_sock()                                     skpair = unix_peer(sk);                                     unix_peer(sk) = NULL;                                     sock_put(skpair)sock_hold(sk_pair) // UaFMore practically, this fix guarantees that the iterator program isconsistently provided with a unix socket that remains stable duringiterator execution.[1]:BUG: KASAN: slab-use-after-free in unix_stream_bpf_update_proto+0x155/0x490Write of size 4 at addr ffff8881178c9a00 by task test_progs/2231Call Trace: dump_stack_lvl+0x5d/0x80 print_report+0x170/0x4f3 kasan_report+0xe4/0x1c0 kasan_check_range+0x125/0x200 unix_stream_bpf_update_proto+0x155/0x490 sock_map_link+0x71c/0xec0 sock_map_update_common+0xbc/0x600 sock_map_update_elem+0x19a/0x1f0 bpf_prog_bbbf56096cdd4f01_selective_dump_unix+0x20c/0x217 bpf_iter_run_prog+0x21e/0xae0 bpf_iter_unix_seq_show+0x1e0/0x2a0 bpf_seq_read+0x42c/0x10d0 vfs_read+0x171/0xb20 ksys_read+0xff/0x200 do_syscall_64+0xf7/0x5e0 entry_SYSCALL_64_after_hwframe+0x76/0x7eAllocated by task 2236: kasan_save_stack+0x30/0x50 kasan_save_track+0x14/0x30 __kasan_slab_alloc+0x63/0x80 kmem_cache_alloc_noprof+0x1d5/0x680 sk_prot_alloc+0x59/0x210 sk_alloc+0x34/0x470 unix_create1+0x86/0x8a0 unix_stream_connect+0x318/0x15b0 __sys_connect+0xfd/0x130 __x64_sys_connect+0x72/0xd0 do_syscall_64+0xf7/0x5e0 entry_SYSCALL_64_after_hwframe+0x76/0x7eFreed by task 2236: kasan_save_stack+0x30/0x50 kasan_save_track+0x14/0x30 kasan_save_free_info+0x3b/0x70 __kasan_slab_free+0x47/0x70 kmem_cache_free+0x11c/0x590 __sk_destruct+0x432/0x6e0 unix_release_sock+0x9b3/0xf60 unix_release+0x8a/0xf0 __sock_release+0xb0/0x270 sock_close+0x18/0x20 __fput+0x36e/0xac0 fput_close_sync+0xe5/0x1a0 __x64_sys_close+0x7d/0xd0 do_syscall_64+0xf7/0x5e0 entry_SYSCALL_64_after_hwframe+0x76/0x7e</t>
  </si>
  <si>
    <t>CVE-2026-53034</t>
  </si>
  <si>
    <t>In the Linux kernel, the following vulnerability has been resolved:bpf, sockmap: Fix af_unix null-ptr-deref in proto updateunix_stream_connect() sets sk_state (`WRITE_ONCE(sk-&gt;sk_state,TCP_ESTABLISHED)`) _before_ it assigns a peer (`unix_peer(sk) = newsk`).sk_state == TCP_ESTABLISHED makes sock_map_sk_state_allowed() believe thatsocket is properly set up, which would include having a defined peer. IOW,there's a window when unix_stream_bpf_update_proto() can be called onsocket which still has unix_peer(sk) == NULL.         CPU0 bpf                            CPU1 connect         --------                            ------------                                WRITE_ONCE(sk-&gt;sk_state, TCP_ESTABLISHED)sock_map_sk_state_allowed(sk)...sk_pair = unix_peer(sk)sock_hold(sk_pair)                                sock_hold(newsk)                                smp_mb__after_atomic()                                unix_peer(sk) = newskBUG: kernel NULL pointer dereference, address: 0000000000000080RIP: 0010:unix_stream_bpf_update_proto+0xa0/0x1b0Call Trace:  sock_map_link+0x564/0x8b0  sock_map_update_common+0x6e/0x340  sock_map_update_elem_sys+0x17d/0x240  __sys_bpf+0x26db/0x3250  __x64_sys_bpf+0x21/0x30  do_syscall_64+0x6b/0x3a0  entry_SYSCALL_64_after_hwframe+0x76/0x7eInitial idea was to move peer assignment _before_ the sk_state update[1],but that involved an additional memory barrier, and changing the hot pathwas rejected.Then a NULL check during proto update in unix_stream_bpf_update_proto() wasconsidered[2], but the follow-up discussion[3] focused on the root cause,i.e. sockmap update taking a wrong lock. Or, more specifically, missingunix_state_lock()[4].In the end it was concluded that teaching sockmap about the af_unix lockingwould be unnecessarily complex[5].Complexity aside, since BPF_PROG_TYPE_SCHED_CLS and BPF_PROG_TYPE_SCHED_ACTare allowed to update sockmaps, sock_map_update_elem() taking the unixlock, as it is currently implemented in unix_state_lock():spin_lock(&amp;unix_sk(s)-&gt;lock), would be problematic. unix_state_lock() takenin a process context, followed by a softirq-context TC BPF programattempting to take the same spinlock -- deadlock[6].This way we circled back to the peer check idea[2].[1]:https://lore.kernel.org/netdev/ba5c50aa-1df4-40c2-ab33-a72022c5a32e@rbox.co/[2]:https://lore.kernel.org/netdev/20240610174906.32921-1-kuniyu@amazon.com/[3]:https://lore.kernel.org/netdev/7603c0e6-cd5b-452b-b710-73b64bd9de26@linux.dev/[4]:https://lore.kernel.org/netdev/CAAVpQUA+8GL_j63CaKb8hbxoL21izD58yr1NvhOhU=j+35+3og@mail.gmail.com/[5]:https://lore.kernel.org/bpf/CAAVpQUAHijOMext28Gi10dSLuMzGYh+jK61Ujn+fZ-wvcODR2A@mail.gmail.com/[6]:https://lore.kernel.org/bpf/dd043c69-4d03-46fe-8325-8f97101435cf@linux.dev/Summary of scenarios where af_unix/stream connect() may race a sockmapupdate:1. connect() vs. bpf(BPF_MAP_UPDATE_ELEM), i.e. sock_map_update_elem_sys()   Implemented NULL check is sufficient. Once assigned, socket peer won't   be released until socket fd is released. And that's not an issue because   sock_map_update_elem_sys() bumps fd refcnf.2. connect() vs BPF program doing update   Update restricted per verifier.c:may_update_sockmap() to      BPF_PROG_TYPE_TRACING/BPF_TRACE_ITER      BPF_PROG_TYPE_SOCK_OPS (bpf_sock_map_update() only)      BPF_PROG_TYPE_SOCKET_FILTER      BPF_PROG_TYPE_SCHED_CLS      BPF_PROG_TYPE_SCHED_ACT      BPF_PROG_TYPE_XDP      BPF_PROG_TYPE_SK_REUSEPORT      BPF_PROG_TYPE_FLOW_DISSECTOR      BPF_PROG_TYPE_SK_LOOKUP   Plus one more race to consider:            CPU0 bpf                            CPU1 connect            --------                            ------------                                   WRITE_ONCE(sk-&gt;sk_state,TCP_ESTABLISHED)   sock_map_sk_state_allowed(sk)                                   sock_hold(newsk)                                   smp_mb__after_atomic()---truncated---</t>
  </si>
  <si>
    <t>CVE-2026-53035</t>
  </si>
  <si>
    <t>In the Linux kernel, the following vulnerability has been resolved:bpf, sockmap: Fix af_unix iter deadlockbpf_iter_unix_seq_show() may deadlock when lock_sock_fast() takes the fastpath and the iter prog attempts to update a sockmap. Which ends up spinningat sock_map_update_elem()'s bh_lock_sock():WARNING: possible recursive locking detectedtest_progs/1393 is trying to acquire lock:ffff88811ec25f58 (slock-AF_UNIX){+...}-{3:3}, at:sock_map_update_elem+0xdb/0x1f0but task is already holding lock:ffff88811ec25f58 (slock-AF_UNIX){+...}-{3:3}, at:__lock_sock_fast+0x37/0xe0other info that might help us debug this: Possible unsafe locking scenario:       CPU0       ----  lock(slock-AF_UNIX);  lock(slock-AF_UNIX); *** DEADLOCK *** May be due to missing lock nesting notation4 locks held by test_progs/1393: #0: ffff88814b59c790 (&amp;p-&gt;lock){+.+.}-{4:4}, at: bpf_seq_read+0x59/0x10d0 #1: ffff88811ec25fd8 (sk_lock-AF_UNIX){+.+.}-{0:0}, at:bpf_seq_read+0x42c/0x10d0 #2: ffff88811ec25f58 (slock-AF_UNIX){+...}-{3:3}, at:__lock_sock_fast+0x37/0xe0 #3: ffffffff85a6a7c0 (rcu_read_lock){....}-{1:3}, at:bpf_iter_run_prog+0x51d/0xb00Call Trace: dump_stack_lvl+0x5d/0x80 print_deadlock_bug.cold+0xc0/0xce __lock_acquire+0x130f/0x2590 lock_acquire+0x14e/0x2b0 _raw_spin_lock+0x30/0x40 sock_map_update_elem+0xdb/0x1f0 bpf_prog_2d0075e5d9b721cd_dump_unix+0x55/0x4f4 bpf_iter_run_prog+0x5b9/0xb00 bpf_iter_unix_seq_show+0x1f7/0x2e0 bpf_seq_read+0x42c/0x10d0 vfs_read+0x171/0xb20 ksys_read+0xff/0x200 do_syscall_64+0x6b/0x3a0 entry_SYSCALL_64_after_hwframe+0x76/0x7e</t>
  </si>
  <si>
    <t>CVE-2026-53036</t>
  </si>
  <si>
    <t>In the Linux kernel, the following vulnerability has been resolved:bpf, arm64: Fix off-by-one in check_imm signed range checkcheck_imm(bits, imm) is used in the arm64 BPF JIT to verify thata branch displacement (in arm64 instruction units) fits into thesigned N-bit immediate field of a B, B.cond or CBZ/CBNZ encodingbefore it is handed to the encoder. The macro currently tests for(imm &gt; 0 &amp;&amp; imm &gt;&gt; bits) || (imm &lt; 0 &amp;&amp; ~imm &gt;&gt; bits) which admitsvalues in [-2^N, 2^N) — effectively a signed (N+1)-bit range. Asigned N-bit field only holds [-2^(N-1), 2^(N-1)), so the checkadmits one extra bit of range on each side.In particular, for check_imm19(), values in [2^18, 2^19) slip pastthe check but do not fit into the 19-bit signed imm19 field ofB.cond. aarch64_insn_encode_immediate() then masks the raw valueinto the 19-bit field, setting bit 18 (the sign bit) and flippinga forward branch into a backward one. Same class of issue existsfor check_imm26() and the B/BL encoding. Shift by (bits - 1)instead of bits so the actual signed N-bit range is enforced.</t>
  </si>
  <si>
    <t>CVE-2026-53037</t>
  </si>
  <si>
    <t>In the Linux kernel, the following vulnerability has been resolved:HID: usbhid: fix deadlock in hid_post_reset()You can build a USB device that includes a HID componentand a storage or UAS component. The components can be resetonly together. That means that hid_pre_reset() and hid_post_reset()are in the block IO error handling. Hence no memory allocationused in them may do block IO because the IO can deadlockon the mutex held while resetting a device and calling theinterface drivers.Use GFP_NOIO for all allocations in them.</t>
  </si>
  <si>
    <t>CVE-2026-53038</t>
  </si>
  <si>
    <t>In the Linux kernel, the following vulnerability has been resolved:ima_fs: Correctly create securityfs files for unsupported hash algosima_tpm_chip-&gt;allocated_banks[i].crypto_id is initialized toHASH_ALGO__LAST if the TPM algorithm is not supported. However thereare places relying on the algorithm to be valid because it is accessedby hash_algo_name[].On 6.12.40 I observe the following read out-of-bounds in hash_algo_name:  ==================================================================  BUG: KASAN: global-out-of-bounds increate_securityfs_measurement_lists+0x396/0x440  Read of size 8 at addr ffffffff83e18138 by task swapper/0/1  CPU: 4 UID: 0 PID: 1 Comm: swapper/0 Not tainted 6.12.40 #3  Call Trace:   &lt;TASK&gt;   dump_stack_lvl+0x61/0x90   print_report+0xc4/0x580   ? kasan_addr_to_slab+0x26/0x80   ? create_securityfs_measurement_lists+0x396/0x440   kasan_report+0xc2/0x100   ? create_securityfs_measurement_lists+0x396/0x440   create_securityfs_measurement_lists+0x396/0x440   ima_fs_init+0xa3/0x300   ima_init+0x7d/0xd0   init_ima+0x28/0x100   do_one_initcall+0xa6/0x3e0   kernel_init_freeable+0x455/0x740   kernel_init+0x24/0x1d0   ret_from_fork+0x38/0x80   ret_from_fork_asm+0x11/0x20   &lt;/TASK&gt;  The buggy address belongs to the variable:   hash_algo_name+0xb8/0x420  Memory state around the buggy address:   ffffffff83e18000: 00 01 f9 f9 f9 f9 f9 f9 00 01 f9 f9 f9 f9 f9 f9   ffffffff83e18080: 00 00 00 00 00 00 00 00 00 00 00 00 00 00 00 00  &gt;ffffffff83e18100: 00 00 00 00 00 00 00 f9 f9 f9 f9 f9 00 05 f9 f9                                          ^   ffffffff83e18180: f9 f9 f9 f9 00 00 00 00 00 00 00 04 f9 f9 f9 f9   ffffffff83e18200: 00 00 00 00 00 00 00 00 04 f9 f9 f9 f9 f9 f9 f9  ==================================================================Seems like the TPM chip supports sha3_256, which isn't yet intpm_algorithms:  tpm tpm0: TPM with unsupported bank algorithm 0x0027That's TPM_ALG_SHA3_256 == 0x0027 from "Trusted Platform Module 2.0Library Part 2: Structures", page 51 [1].See also the related U-Boot algorithms update [2].Thus solve the problem by creating a file name with "_tpm_alg_&lt;ID&gt;"postfix if the crypto algorithm isn't initialized.This is how it looks on the test machine (patch ported to v6.12 release):  # ls -1 /sys/kernel/security/ima/  ascii_runtime_measurements  ascii_runtime_measurements_tpm_alg_27  ascii_runtime_measurements_sha1  ascii_runtime_measurements_sha256  binary_runtime_measurements  binary_runtime_measurements_tpm_alg_27  binary_runtime_measurements_sha1  binary_runtime_measurements_sha256  policy  runtime_measurements_count  violations[1]:https://trustedcomputinggroup.org/wp-content/uploads/Trusted-Platform-Module-2.0-Library-Part-2-Version-184_pub.pdf[2]: https://lists.denx.de/pipermail/u-boot/2024-July/558835.html</t>
  </si>
  <si>
    <t>CVE-2026-53039</t>
  </si>
  <si>
    <t>In the Linux kernel, the following vulnerability has been resolved:ocfs2: validate group add input before caching[BUG]OCFS2_IOC_GROUP_ADD can trigger a BUG_ON inocfs2_set_new_buffer_uptodate():kernel BUG at fs/ocfs2/uptodate.c:509!Oops: invalid opcode: 0000 [#1] SMP KASAN NOPTIRIP: 0010:ocfs2_set_new_buffer_uptodate+0x194/0x1e0 fs/ocfs2/uptodate.c:509Code: ffffe88f 42b9fe4c 89e64889 dfe8b4dfCall Trace: ocfs2_group_add+0x3f1/0x1510 fs/ocfs2/resize.c:507 ocfs2_ioctl+0x309/0x6e0 fs/ocfs2/ioctl.c:887 vfs_ioctl fs/ioctl.c:51 [inline] __do_sys_ioctl fs/ioctl.c:597 [inline] __se_sys_ioctl fs/ioctl.c:583 [inline] __x64_sys_ioctl+0x197/0x1e0 fs/ioctl.c:583 x64_sys_call+0x1144/0x26a0 arch/x86/include/generated/asm/syscalls_64.h:17 do_syscall_x64 arch/x86/entry/syscall_64.c:63 [inline] do_syscall_64+0x93/0xf80 arch/x86/entry/syscall_64.c:94 entry_SYSCALL_64_after_hwframe+0x76/0x7eRIP: 0033:0x7bbfb55a966d[CAUSE]ocfs2_group_add() calls ocfs2_set_new_buffer_uptodate() on auser-controlled group block before ocfs2_verify_group_and_input()validates that block number. That helper is only valid for newlyallocated metadata and asserts that the block is not already present inthe chosen metadata cache. The code also uses INODE_CACHE(inode) eventhough the group descriptor belongs to main_bm_inode and later journalaccesses use that cache context instead.[FIX]Validate the on-disk group descriptor before caching it, then add it tothe metadata cache tracked by INODE_CACHE(main_bm_inode). Keep thevalidation failure path separate from the later cleanup path so we onlyremove the buffer from that cache after it has actually been inserted.This keeps the group buffer lifetime consistent across validation,journaling, and cleanup.</t>
  </si>
  <si>
    <t>CVE-2026-53040</t>
  </si>
  <si>
    <t>In the Linux kernel, the following vulnerability has been resolved:ocfs2: validate bg_bits during freefrag scan[BUG]A crafted filesystem can trigger an out-of-bounds bitmap walk whenOCFS2_IOC_INFO is issued with OCFS2_INFO_FL_NON_COHERENT.BUG: KASAN: use-after-free in instrument_atomic_readinclude/linux/instrumented.h:68 [inline]BUG: KASAN: use-after-free in _test_bitinclude/asm-generic/bitops/instrumented-non-atomic.h:141 [inline]BUG: KASAN: use-after-free in test_bit_leinclude/asm-generic/bitops/le.h:21 [inline]BUG: KASAN: use-after-free in ocfs2_info_freefrag_scan_chainfs/ocfs2/ioctl.c:495 [inline]BUG: KASAN: use-after-free in ocfs2_info_freefrag_scan_bitmapfs/ocfs2/ioctl.c:588 [inline]BUG: KASAN: use-after-free in ocfs2_info_handle_freefragfs/ocfs2/ioctl.c:662 [inline]BUG: KASAN: use-after-free in ocfs2_info_handle_request+0x1c66/0x3370fs/ocfs2/ioctl.c:754Read of size 8 at addr ffff888031bce000 by task syz.0.636/1435Call Trace: __dump_stack lib/dump_stack.c:94 [inline] dump_stack_lvl+0xbe/0x130 lib/dump_stack.c:120 print_address_description mm/kasan/report.c:378 [inline] print_report+0xd1/0x650 mm/kasan/report.c:482 kasan_report+0xfb/0x140 mm/kasan/report.c:595 check_region_inline mm/kasan/generic.c:186 [inline] kasan_check_range+0x11c/0x200 mm/kasan/generic.c:200 __kasan_check_read+0x11/0x20 mm/kasan/shadow.c:31 instrument_atomic_read include/linux/instrumented.h:68 [inline] _test_bit include/asm-generic/bitops/instrumented-non-atomic.h:141[inline] test_bit_le include/asm-generic/bitops/le.h:21 [inline] ocfs2_info_freefrag_scan_chain fs/ocfs2/ioctl.c:495 [inline] ocfs2_info_freefrag_scan_bitmap fs/ocfs2/ioctl.c:588 [inline] ocfs2_info_handle_freefrag fs/ocfs2/ioctl.c:662 [inline] ocfs2_info_handle_request+0x1c66/0x3370 fs/ocfs2/ioctl.c:754 ocfs2_info_handle+0x18d/0x2a0 fs/ocfs2/ioctl.c:828 ocfs2_ioctl+0x632/0x6e0 fs/ocfs2/ioctl.c:913 vfs_ioctl fs/ioctl.c:51 [inline] __do_sys_ioctl fs/ioctl.c:597 [inline] __se_sys_ioctl fs/ioctl.c:583 [inline] __x64_sys_ioctl+0x197/0x1e0 fs/ioctl.c:583 ...[CAUSE]ocfs2_info_freefrag_scan_chain() uses on-disk bg_bits directly as thebitmap scan limit. The coherent path reads group descriptors throughocfs2_read_group_descriptor(), which validates the descriptor beforeuse. The non-coherent path uses ocfs2_read_blocks_sync() instead andskips that validation, so an impossible bg_bits value can drive thebitmap walk past the end of the block.[FIX]Compute the bitmap capacity from the filesystem format withocfs2_group_bitmap_size(), report descriptors whose bg_bits exceedsthat limit, and clamp the scan to the computed capacity. This keeps thefreefrag report going while avoiding reads beyond the buffer.</t>
  </si>
  <si>
    <t>CVE-2026-53041</t>
  </si>
  <si>
    <t>In the Linux kernel, the following vulnerability has been resolved:ocfs2: fix listxattr handling when the buffer is full[BUG]If an OCFS2 inode has both inline and block-based xattrs, listxattr()can return a size larger than the caller's buffer when the inline namesconsume that buffer exactly.kernel BUG at mm/usercopy.c:102!Oops: invalid opcode: 0000 [#1] SMP KASAN NOPTIRIP: 0010:usercopy_abort+0xb7/0xd0 mm/usercopy.c:102Call Trace: __check_heap_object+0xe3/0x120 mm/slub.c:8243 check_heap_object mm/usercopy.c:196 [inline] __check_object_size mm/usercopy.c:250 [inline] __check_object_size+0x5c5/0x780 mm/usercopy.c:215 check_object_size include/linux/ucopysize.h:22 [inline] check_copy_size include/linux/ucopysize.h:59 [inline] copy_to_user include/linux/uaccess.h:219 [inline] listxattr+0xb0/0x170 fs/xattr.c:926 filename_listxattr fs/xattr.c:958 [inline] path_listxattrat+0x137/0x320 fs/xattr.c:988 __do_sys_listxattr fs/xattr.c:1001 [inline] __se_sys_listxattr fs/xattr.c:998 [inline] __x64_sys_listxattr+0x7f/0xd0 fs/xattr.c:998 ...[CAUSE]Commit 936b8834366e ("ocfs2: Refactor xattr list and removeocfs2_xattr_handler().") replaced the old per-handler list accountingwith ocfs2_xattr_list_entry(), but it kept using size == 0 to detectprobe mode.That assumption stops being true once ocfs2_listxattr() finishes theinline-xattr pass. If the inline names fill the caller buffer exactly,the block-xattr pass runs with a non-NULL buffer and a remaining size ofzero. ocfs2_xattr_list_entry() then skips the bounds check, keepscounting block names, and returns a positive size larger than thesupplied buffer.[FIX]Detect probe mode by testing whether the destination buffer pointer isNULL instead of whether the remaining size is zero.That restores the pre-refactor behavior and matches the OCFS2 getxattrhelpers. Once the remaining buffer reaches zero while more names areleft, the block-xattr pass now returns -ERANGE instead of reporting asize larger than the allocated list buffer.</t>
  </si>
  <si>
    <t>CVE-2026-53042</t>
  </si>
  <si>
    <t>In the Linux kernel, the following vulnerability has been resolved:fwctl: Fix class init ordering to avoid NULL pointer dereference on deviceremovalCXL is linked before fwctl in drivers/Makefile. Both use `module_init, so`cxl_pci_driver_init()` runs first. When `cxl_pci_probe()` calls`fwctl_register()` and then `device_add()`, fwctl_class is not yetregistered because fwctl_init() hasn't run, causing `class_to_subsys()` toreturn NULL and skip knode_class initialization.On device removal, `class_to_subsys()` returns non-NULL, and`device_del()` calls `klist_del()` on the uninitialized knode, triggeringa NULL pointer dereference.</t>
  </si>
  <si>
    <t>CVE-2026-53043</t>
  </si>
  <si>
    <t>In the Linux kernel, the following vulnerability has been resolved:ocfs2/dlm: validate qr_numregions in dlm_match_regions()Patch series "ocfs2/dlm: fix two bugs in dlm_match_regions()".In dlm_match_regions(), the qr_numregions field from a DLM_QUERY_REGIONnetwork message is used to drive loops over the qr_regions buffer withoutsufficient validation.  This series fixes two issues:- Patch 1 adds a bounds check to reject messages where qr_numregions  exceeds O2NM_MAX_REGIONS. The o2net layer only validates message  byte length; it does not constrain field values, so a crafted message  can set qr_numregions up to 255 and trigger out-of-bounds reads past  the 1024-byte qr_regions buffer.- Patch 2 fixes an off-by-one in the local-vs-remote comparison loop,  which uses '&lt;=' instead of '&lt;', reading one entry past the valid range  even when qr_numregions is within bounds.This patch (of 2):The qr_numregions field from a DLM_QUERY_REGION network message is useddirectly as loop bounds in dlm_match_regions() without checking againstO2NM_MAX_REGIONS.  Since qr_regions is sized for at most O2NM_MAX_REGIONS(32) entries, a crafted message with qr_numregions &gt; 32 causesout-of-bounds reads past the qr_regions buffer.Add a bounds check for qr_numregions before entering the loops.</t>
  </si>
  <si>
    <t>CVE-2026-53045</t>
  </si>
  <si>
    <t>In the Linux kernel, the following vulnerability has been resolved:memory: tegra124-emc: Fix dll_change checkThe code checking whether the specified memory timing enables DLLin the EMRS register was reversed. DLL is enabled if bit A0 is low.Fix the check.</t>
  </si>
  <si>
    <t>CVE-2026-53046</t>
  </si>
  <si>
    <t>In the Linux kernel, the following vulnerability has been resolved:ksmbd: fix use-after-free from async crypto on Qualcomm crypto engineksmbd_crypt_message() sets a NULL completion callback on AEAD requestsand does not handle the -EINPROGRESS return code from async hardwarecrypto engines like the Qualcomm Crypto Engine (QCE). When QCE returns-EINPROGRESS, ksmbd treats it as an error and immediately frees therequest while the hardware DMA operation is still in flight. The DMAcompletion callback then dereferences freed memory, causing a NULLpointer crash:  pc : qce_skcipher_done+0x24/0x174  lr : vchan_complete+0x230/0x27c  ...  el1h_64_irq+0x68/0x6c  ksmbd_free_work_struct+0x20/0x118 [ksmbd]  ksmbd_exit_file_cache+0x694/0xa4c [ksmbd]Use the standard crypto_wait_req() pattern with crypto_req_done() asthe completion callback, matching the approach used by the SMB clientin fs/smb/client/smb2ops.c. This properly handles both synchronousengines (immediate return) and async engines (-EINPROGRESS followedby callback notification).</t>
  </si>
  <si>
    <t>CVE-2026-53047</t>
  </si>
  <si>
    <t>In the Linux kernel, the following vulnerability has been resolved:efi/capsule-loader: fix incorrect sizeof in phys array reallocationThe krealloc() call for cap_info-&gt;phys in __efi_capsule_setup_info() usessizeof(phys_addr_t *) instead of sizeof(phys_addr_t), which might becausing an undersized allocation.The allocation is also inconsistent with the initial array allocation inefi_capsule_open() that allocates one entry with sizeof(phys_addr_t),and the efi_capsule_write() function that stores phys_addr_t values (notpointers) via page_to_phys().On 64-bit systems where sizeof(phys_addr_t) == sizeof(phys_addr_t *), thisgoes unnoticed. On 32-bit systems with PAE where phys_addr_t is 64-bit butpointers are 32-bit, this allocates half the required space, which mightlead to a heap buffer overflow when storing physical addresses.This is similar to the bug fixed in commit fccfa646ef36("efi/capsule-loader:fix incorrect allocation size") which fixed the same issue at the initialallocation site.</t>
  </si>
  <si>
    <t>CVE-2026-53048</t>
  </si>
  <si>
    <t>In the Linux kernel, the following vulnerability has been resolved:gfs2: prevent NULL pointer dereference during unmountWhen flushing out outstanding glock work during an unmount,gfs2_log_flush()can be called when sdp-&gt;sd_jdesc has already been deallocated andsdp-&gt;sd_jdescis NULL.  Commit 35264909e9d1 ("gfs2: Fix NULL pointer dereference ingfs2_log_flush") added a check for that to gfs2_log_flush() itself, but itmissed the sdp-&gt;sd_jdesc dereference in gfs2_log_release().  Fix that.</t>
  </si>
  <si>
    <t>CVE-2026-53049</t>
  </si>
  <si>
    <t>In the Linux kernel, the following vulnerability has been resolved:gfs2: add some missing log lockingFunction gfs2_logd() calls the log flushing functions gfs2_ail1_start(),gfs2_ail1_wait(), and gfs2_ail1_empty() without holdingsdp-&gt;sd_log_flush_lock,but these functions require exclusion against concurrent transactions.To fix that, add a non-locking __gfs2_log_flush() function.  Then, ingfs2_logd(), take sdp-&gt;sd_log_flush_lock before calling the above mentionedlogflushing functions and __gfs2_log_flush().</t>
  </si>
  <si>
    <t>CVE-2026-53050</t>
  </si>
  <si>
    <t>In the Linux kernel, the following vulnerability has been resolved:quota: Fix race of dquot_scan_active() with quota deactivationdquot_scan_active() can race with quota deactivation inquota_release_workfn() like:  CPU0 (quota_release_workfn)         CPU1 (dquot_scan_active)  ==============================      ==============================  spin_lock(&amp;dq_list_lock);  list_replace_init(    &amp;releasing_dquots, &amp;rls_head);    /* dquot X on rls_head,       dq_count == 0,       DQ_ACTIVE_B still set */  spin_unlock(&amp;dq_list_lock);  synchronize_srcu(&amp;dquot_srcu);                                      spin_lock(&amp;dq_list_lock);                                      list_for_each_entry(dquot,                                          &amp;inuse_list, dq_inuse) {                                        /* finds dquot X */                                        dquot_active(X) -&gt; true                                        atomic_inc(&amp;X-&gt;dq_count);                                      }                                      spin_unlock(&amp;dq_list_lock);  spin_lock(&amp;dq_list_lock);  dquot = list_first_entry(&amp;rls_head);  WARN_ON_ONCE(atomic_read(&amp;dquot-&gt;dq_count));The problem is not only a cosmetic one as under memory pressure thecaller of dquot_scan_active() can end up working on freed dquot.Fix the problem by making sure the dquot is removed from releasing listwhen we acquire a reference to it.</t>
  </si>
  <si>
    <t>CVE-2026-53051</t>
  </si>
  <si>
    <t>In the Linux kernel, the following vulnerability has been resolved:PCI: tegra194: Fix CBB timeout caused by DBI access before core power-onWhen PERST# is deasserted twice (assert -&gt; deassert -&gt; assert -&gt; deassert),a CBB (Control Backbone) timeout occurs at DBI register offset 0x8bc(PCIE_MISC_CONTROL_1_OFF). This happens because pci_epc_deinit_notify()and dw_pcie_ep_cleanup() are called before reset_control_deassert() powerson the controller core.The call chain that causes the timeout:  pex_ep_event_pex_rst_deassert()    pci_epc_deinit_notify()      pci_epf_test_epc_deinit()        pci_epf_test_clear_bar()          pci_epc_clear_bar()            dw_pcie_ep_clear_bar()              __dw_pcie_ep_reset_bar()                dw_pcie_dbi_ro_wr_en()      &lt;- Accesses 0x8bc DBI register    reset_control_deassert(pcie-&gt;core_rst)  &lt;- Core powered on HEREThe DBI registers, including PCIE_MISC_CONTROL_1_OFF (0x8bc), are onlyaccessible after the controller core is powered on viareset_control_deassert(pcie-&gt;core_rst). Accessing them before this pointresults in a CBB timeout because the hardware is not yet operational.Fix this by moving pci_epc_deinit_notify() and dw_pcie_ep_cleanup() toafter reset_control_deassert(pcie-&gt;core_rst), ensuring the controller isfully powered on before any DBI register accesses occur.</t>
  </si>
  <si>
    <t>CVE-2026-53052</t>
  </si>
  <si>
    <t>In the Linux kernel, the following vulnerability has been resolved:ASoC: qcom: qdsp6: topology: check widget type before accessing dataCheck widget type before accessing the private data, as this could avirtual widget which is no associated with a dsp graph, container andmodule. Accessing witout check could lead to incorrect memory access.</t>
  </si>
  <si>
    <t>CVE-2026-53054</t>
  </si>
  <si>
    <t>In the Linux kernel, the following vulnerability has been resolved:drm/msm: Fix VM_BIND UNMAP lockingWrong argument meant that the objs involved in UNMAP ops were not alwaysgetting locked.Since _NO_SHARE objs share a common resv with the VM (which is alwayslocked) this would only show up with non-_NO_SHARE BOs.Patchwork: https://patchwork.freedesktop.org/patch/713898/</t>
  </si>
  <si>
    <t>CVE-2026-53055</t>
  </si>
  <si>
    <t>In the Linux kernel, the following vulnerability has been resolved:crypto: hisilicon/sec2 - prevent req used-after-free for secDuring packet transmission, if the system is under heavy load,the hardware might complete processing the packet and free therequest memory (req) before the transmission function finishes.If the software subsequently accesses this req, a use-after-freeerror will occur. The qp_ctx memory exists throughout the packetsending process, so replace the req with the qp_ctx.</t>
  </si>
  <si>
    <t>CVE-2026-53056</t>
  </si>
  <si>
    <t>In the Linux kernel, the following vulnerability has been resolved:drm/msm/dpu: fix mismatch between power and frequencyDuring DPU runtime suspend, calling dev_pm_opp_set_rate(dev, 0) dropsthe MMCX rail to MIN_SVS while the core clock frequency remains at itsoriginal (highest) rate. When runtime resume re-enables the clock, thismay result in a mismatch between the rail voltage and the clock rate.For example, in the DPU bind path, the sequence could be:  cpu0: dev_sync_state -&gt; rpmhpd_sync_state  cpu1:                                     dpu_kms_hw_inittimeline 0 ------------------------------------------------&gt; tAfter rpmhpd_sync_state, the voltage performance is no longer guaranteedto stay at the highest level. During dpu_kms_hw_init, callingdev_pm_opp_set_rate(dev, 0) drops the voltage, causing the MMCX rail tofall to MIN_SVS while the core clock is still at its maximum frequency.When the power is re-enabled, only the clock is enabled, leading to asituation where the MMCX rail is at MIN_SVS but the core clock is at itshighest rate. In this state, the rail cannot sustain the clock rate,which may cause instability or system crash.Remove the call to dev_pm_opp_set_rate(dev, 0) from dpu_runtime_suspendto ensure the correct vote is restored when DPU resumes.Patchwork: https://patchwork.freedesktop.org/patch/710077/</t>
  </si>
  <si>
    <t>CVE-2026-53058</t>
  </si>
  <si>
    <t>In the Linux kernel, the following vulnerability has been resolved:drm/bridge: cadence: cdns-mhdp8546-core: Set the mhdp connector earlier inatomic_enable()In case if we get errors in cdns_mhdp_link_up() or cdns_mhdp_reg_read()in atomic_enable, we will go to cdns_mhdp_modeset_retry_fn() and will hitNULL pointer while trying to access the mutex. We need the connector tobe set before that. Unlike in legacy cases with flag!DRM_BRIDGE_ATTACH_NO_CONNECTOR, we do not have connector initialisedin bridge_attach(), so add the mhdp-&gt;connector_ptr in device structureto handle both cases with DRM_BRIDGE_ATTACH_NO_CONNECTOR and!DRM_BRIDGE_ATTACH_NO_CONNECTOR, set it in atomic_enable() earlier toavoid possible NULL pointer dereference in recovery paths likemodeset_retry_fn() with the DRM_BRIDGE_ATTACH_NO_CONNECTOR flag set.</t>
  </si>
  <si>
    <t>CVE-2026-53060</t>
  </si>
  <si>
    <t>In the Linux kernel, the following vulnerability has been resolved:dm cache metadata: fix memory leak on metadata abort retryWhen failing to acquire the root_lock in dm_cache_metadata_abort becausethe block_manager is read-only, the temporary block_manager createdoutside the root_lock is not properly released, causing a memory leak.Reproduce steps:This can be reproduced by reloading a new table while the metadatais read-only. While the second call to dm_cache_metadata_abort iscaused by lack of support for table preload in dm-cache, mentionedin commit 9b1cc9f251af ("dm cache: share cache-metadata object acrossinactive and active DM tables"), it exposes the memory leak indm_cache_metadata_abort when the function is called multiple times.Specifically, dm-cache fails to sync the new cache object's mode duringpreresume, creating the reproducer condition.This issue could also occur through concurrent metadata_operation_failedcalls due to races in cache mode updates, but the table preload scenariobelow provides a reliable reproducer.1. Create a cache device with some faulty trailing metadata blocksdmsetup create cmeta &lt;&lt;EOF0 200 linear /dev/sdc 0200 7992 errorEOFdmsetup create cdata --table "0 131072 linear /dev/sdc 8192"dmsetup create corig --table "0 262144 linear /dev/sdc 262144"dd if=/dev/zero of=/dev/mapper/cmeta bs=4k count=1 oflag=directdmsetup create cache --table "0 131072 cache /dev/mapper/cmeta \/dev/mapper/cdata /dev/mapper/corig 128 1 writethrough smq 0"2. Suspend and resume the cache to start a new metadata transaction and   trigger metadata io errors on the next metadata commit.dmsetup suspend cachedmsetup resume cache3. Write to the cache device to update metadatafio --filename=/dev/mapper/cache --name test --rw=randwrite --bs=4k \--randrepeat=0 --direct=1 --size 64k4. Preload the same tabledmsetup reload cache --table "$(dmsetup table cache)"5. Resume the new table. This triggers the memory leak.dmsetup suspend cachedmsetup resume cachekmemleak logs:&lt;snip&gt;unreferenced object 0xffff8880080c2010 (size 16):  comm "dmsetup", pid 132, jiffies 4294982580  hex dump (first 16 bytes):    00 38 b9 07 80 88 ff ff 6a 6b 6b 6b 6b 6b 6b a5 ...  backtrace (crc 3118f31c):    kmemleak_alloc+0x28/0x40    __kmalloc_cache_noprof+0x3d9/0x510    dm_block_manager_create+0x51/0x140    dm_cache_metadata_abort+0x85/0x320    metadata_operation_failed+0x103/0x1e0    cache_preresume+0xacd/0xe70    dm_table_resume_targets+0xd3/0x320    __dm_resume+0x1b/0xf0    dm_resume+0x127/0x170&lt;snip&gt;</t>
  </si>
  <si>
    <t>CVE-2026-53061</t>
  </si>
  <si>
    <t>In the Linux kernel, the following vulnerability has been resolved:dm cache: fix dirty mapping checking in passthrough mode switchingAs mentioned in commit 9b1cc9f251af ("dm cache: share cache-metadataobject across inactive and active DM tables"), dm-cache assumed tablereload occurs after suspension, while LVM's table preload breaks thisassumption. The dirty mapping check for passthrough mode was designedaround this assumption and is performed during table creation, causingthe check to fail with preload while metadata updates are ongoing. Thisrisks loading dirty mappings into passthrough mode, resulting in dataloss.Reproduce steps:1. Create a writeback cache with zero migration_threshold to produce   dirty mappingsdmsetup create cmeta --table "0 8192 linear /dev/sdc 0"dmsetup create cdata --table "0 131072 linear /dev/sdc 8192"dmsetup create corig --table "0 262144 linear /dev/sdc 262144"dd if=/dev/zero of=/dev/mapper/cmeta bs=4k count=1 oflag=directdmsetup create cache --table "0 262144 cache /dev/mapper/cmeta \/dev/mapper/cdata /dev/mapper/corig 128 2 metadata2 writeback smq \2 migration_threshold 0"2. Preload a table in passthrough modedmsetup reload cache --table "0 262144 cache /dev/mapper/cmeta \/dev/mapper/cdata /dev/mapper/corig 128 2 metadata2 passthrough smq 0"3. Write to the first cache block to make it dirtyfio --filename=/dev/mapper/cache --name=populate --rw=write --bs=4k \--direct=1 --size=64k4. Resume the inactive table. Now it's possible to load the dirty block   into passthrough mode.dmsetup resume cacheFix by moving the checks to the preresume phase to support tablepreloading. Also remove the unused function dm_cache_metadata_all_clean.</t>
  </si>
  <si>
    <t>CVE-2026-53063</t>
  </si>
  <si>
    <t>In the Linux kernel, the following vulnerability has been resolved:dm cache: fix write hang in passthrough modeThe invalidate_remove() function has incomplete logic for handling writehit bios after cache invalidation. It sets up the remapping for theoverwrite_bio but then drops it immediately without submission, causingwrite operations to hang.Fix by adding a new invalidate_committed() continuation that submitsthe remapped writes to the cache origin after metadata commit completes,while using the overwrite_endio hook to ensure proper completionsequencing. This maintains existing coherency. Also improve errorhandling in invalidate_complete() to preserve the original error statusinstead of using bio_io_error() unconditionally.</t>
  </si>
  <si>
    <t>CVE-2026-53064</t>
  </si>
  <si>
    <t>In the Linux kernel, the following vulnerability has been resolved:dm cache: fix null-deref with concurrent writes in passthrough modeIn passthrough mode, when dm-cache starts to invalidate a cacheentry and bio prison cell lock fails due to concurrent write tothe same cached block, mg-&gt;cell remains NULL. The error path ininvalidate_complete() attempts to unlock and free the cellunconditionally, causing a NULL pointer dereference:KASAN: null-ptr-deref in range [0x0000000000000000-0x0000000000000007]CPU: 0 UID: 0 PID: 134 Comm: fio Not tainted 6.19.0-rc7 #3 PREEMPTRIP: 0010:dm_cell_unlock_v2+0x3f/0x210&lt;snip&gt;Call Trace: invalidate_complete+0xef/0x430 map_bio+0x130f/0x1a10 cache_map+0x320/0x6b0 __map_bio+0x458/0x510 dm_submit_bio+0x40e/0x16d0 __submit_bio+0x419/0x870&lt;snip&gt;Reproduce steps:1. Create a cache devicedmsetup create cmeta --table "0 8192 linear /dev/sdc 0"dmsetup create cdata --table "0 131072 linear /dev/sdc 8192"dmsetup create corig --table "0 262144 linear /dev/sdc 262144"dd if=/dev/zero of=/dev/mapper/cmeta bs=4k count=1 oflag=directdmsetup create cache --table "0 262144 cache /dev/mapper/cmeta \/dev/mapper/cdata /dev/mapper/corig 128 2 metadata2 writethrough smq 0"2. Promote the first data block into cachefio --filename=/dev/mapper/cache --name=populate --rw=write --bs=4k \--direct=1 --size=64k3. Reload the cache into passthrough modedmsetup suspend cachedmsetup reload cache --table "0 262144 cache /dev/mapper/cmeta \/dev/mapper/cdata /dev/mapper/corig 128 2 metadata2 passthrough smq 0"dmsetup resume cache4. Write to the first cached block concurrentlyfio --filename=/dev/mapper/cache --name test --rw=randwrite --bs=4k \--randrepeat=0 --direct=1 --numjobs=2 --size 64kFix by checking if mg-&gt;cell is valid before attempting to unlock it.</t>
  </si>
  <si>
    <t>CVE-2026-53065</t>
  </si>
  <si>
    <t>In the Linux kernel, the following vulnerability has been resolved:ASoC: sti: use managed regmap_field allocationsThe regmap_field objects allocated at player init are never freed andmay leak resources if the driver is removed.Switch to devm_regmap_field_alloc() to automatically limit the lifetimeof the allocations the lifetime of the device.</t>
  </si>
  <si>
    <t>CVE-2026-53066</t>
  </si>
  <si>
    <t>In the Linux kernel, the following vulnerability has been resolved:drm/sun4i: backend: fix error pointer dereferenceThe function drm_atomic_get_plane_state() can return an error pointerand is not checked for it. Add error pointer check.Detected by Smatch:drivers/gpu/drm/sun4i/sun4i_backend.c:496 sun4i_backend_atomic_check()error:'plane_state' dereferencing possible ERR_PTR()</t>
  </si>
  <si>
    <t>CVE-2026-53067</t>
  </si>
  <si>
    <t>In the Linux kernel, the following vulnerability has been resolved:PCI: endpoint: pci-ep-msi: Fix error unwind and prevent double allocpci_epf_alloc_doorbell() stores the allocated doorbell message array inepf-&gt;db_msg/epf-&gt;num_db before requesting MSI vectors. If MSI allocationfails, the array is freed but the EPF state may still point to freedmemory.Clear epf-&gt;db_msg and epf-&gt;num_db on the MSI allocation failure path sothat later cleanup cannot double-free the array and callers can retryallocation.Also return -EBUSY when doorbells have already been allocated to preventleaking or overwriting an existing allocation.</t>
  </si>
  <si>
    <t>CVE-2026-53068</t>
  </si>
  <si>
    <t>In the Linux kernel, the following vulnerability has been resolved:drm/komeda: fix integer overflow in AFBC framebuffer size checkThe AFBC framebuffer size validation calculates the minimum requiredbuffer size by adding the AFBC payload size to the framebuffer offset.This addition is performed without checking for integer overflow.If the addition oveflows, the size check may incorrectly succed andallow userspace to provide an undersized drm_gem_object, potentiallyleading to out-of-bounds memory access.Add usage of check_add_overflow() to safely compute the minimumrequired size and reject the framebuffer if an overflow is detected.This makes the AFBC size validation more robust against malformed.Found by Linux Verification Center (linuxtesting.org) with SVACE.</t>
  </si>
  <si>
    <t>CVE-2026-53069</t>
  </si>
  <si>
    <t>In the Linux kernel, the following vulnerability has been resolved:net, bpf: fix null-ptr-deref in xdp_master_redirect() for down mastersyzkaller reported a kernel panic in bond_rr_gen_slave_id() reached viaxdp_master_redirect(). Full decoded trace:  https://syzkaller.appspot.com/bug?extid=80e046b8da2820b6ba73bond_rr_gen_slave_id() dereferences bond-&gt;rr_tx_counter, a per-CPUcounter that bonding only allocates in bond_open() when the mode isround-robin. If the bond device was never brought up, rr_tx_counterstays NULL.The XDP redirect path can still reach that code on a bond that wasnever opened: bpf_master_redirect_enabled_key is a global static key,so as soon as any bond device has native XDP attached, theXDP_TX -&gt; xdp_master_redirect() interception is enabled for everyslave system-wide. The path xdp_master_redirect() -&gt;bond_xdp_get_xmit_slave() -&gt; bond_xdp_xmit_roundrobin_slave_get() -&gt;bond_rr_gen_slave_id() then runs against a bond that has norr_tx_counter and crashes.Fix this in the generic xdp_master_redirect() by refusing to call intothe master's -&gt;ndo_xdp_get_xmit_slave() when the master device is notup. IFF_UP is only set after -&gt;ndo_open() has successfully returned,so this reliably excludes masters whose XDP state has not been fullyinitialized. Drop the frame with XDP_ABORTED so the exception isvisible via trace_xdp_exception() rather than silently falling through.This is not specific to bonding: any current or future master thatdefers XDP state allocation to -&gt;ndo_open() is protected.</t>
  </si>
  <si>
    <t>CVE-2026-53070</t>
  </si>
  <si>
    <t>In the Linux kernel, the following vulnerability has been resolved:sctp: disable BH before calling udp_tunnel_xmit_skb()udp_tunnel_xmit_skb() / udp_tunnel6_xmit_skb() are expected to run withBH disabled.  After commit 6f1a9140ecda ("add xmit recursion limit totunnel xmit functions"), on the path:  udp(6)_tunnel_xmit_skb() -&gt; ip(6)tunnel_xmit()dev_xmit_recursion_inc()/dec() must stay balanced on the same CPU.Without local_bh_disable(), the context may move between CPUs, which canbreak the inc/dec pairing. This may lead to incorrect recursion leveldetection and cause packets to be dropped in ip(6)_tunnel_xmit() or__dev_queue_xmit().Fix it by disabling BH around both IPv4 and IPv6 SCTP UDP xmit paths.In my testing, after enabling the SCTP over UDP:  # ip net exec ha sysctl -w net.sctp.udp_port=9899  # ip net exec ha sysctl -w net.sctp.encap_port=9899  # ip net exec hb sysctl -w net.sctp.udp_port=9899  # ip net exec hb sysctl -w net.sctp.encap_port=9899  # ip net exec ha iperf3 -s- without this patch:  # ip net exec hb iperf3 -c 192.168.0.1 --sctp  [  5]   0.00-10.00  sec  37.2 MBytes  31.2 Mbits/sec  sender  [  5]   0.00-10.00  sec  37.1 MBytes  31.1 Mbits/sec  receiver- with this patch:  # ip net exec hb iperf3 -c 192.168.0.1 --sctp  [  5]   0.00-10.00  sec  3.14 GBytes  2.69 Gbits/sec  sender  [  5]   0.00-10.00  sec  3.14 GBytes  2.69 Gbits/sec  receiver</t>
  </si>
  <si>
    <t>CVE-2026-53071</t>
  </si>
  <si>
    <t>In the Linux kernel, the following vulnerability has been resolved:Bluetooth: l2cap: Add missing chan lock in l2cap_ecred_reconf_rspl2cap_ecred_reconf_rsp() calls l2cap_chan_del() without holdingl2cap_chan_lock(). Every other l2cap_chan_del() caller in the fileacquires the lock first. A remote BLE device can send a craftedL2CAP ECRED reconfiguration response to corrupt the channel listwhile another thread is iterating it.Add l2cap_chan_hold() and l2cap_chan_lock() before l2cap_chan_del(),and l2cap_chan_unlock() and l2cap_chan_put() after, matching thepattern used in l2cap_ecred_conn_rsp() and l2cap_conn_del().</t>
  </si>
  <si>
    <t>CVE-2026-53072</t>
  </si>
  <si>
    <t>In the Linux kernel, the following vulnerability has been resolved:Bluetooth: fix locking in hci_conn_request_evt() with HCI_PROTO_DEFERWhen protocol sets HCI_PROTO_DEFER, hci_conn_request_evt() callshci_connect_cfm(conn) without hdev-&gt;lock. Generally hci_connect_cfm()assumes it is held, and if conn is deleted concurrently -&gt; UAF.Only SCO and ISO set HCI_PROTO_DEFER and only for defer setup listen,and HCI_EV_CONN_REQUEST is not generated for ISO.  In the non-deferredlistening socket code paths, hci_connect_cfm(conn) is called withhdev-&gt;lock held.Fix by holding the lock.</t>
  </si>
  <si>
    <t>CVE-2026-53073</t>
  </si>
  <si>
    <t>In the Linux kernel, the following vulnerability has been resolved:Bluetooth: hci_ldisc: Clear HCI_UART_PROTO_INIT on errorWhen hci_register_dev() fails in hci_uart_register_dev()HCI_UART_PROTO_INIT is not cleared before calling hu-&gt;proto-&gt;close(hu)and setting hu-&gt;hdev to NULL. This means incoming UART data will reachthe protocol-specific recv handler in hci_uart_tty_receive() afterresources are freed.Clear HCI_UART_PROTO_INIT with a write lock before callinghu-&gt;proto-&gt;close() and setting hu-&gt;hdev to NULL. The write lock ensuresall active readers have completed and no new reader can enter theprotocol recv path before resources are freed.This allows the protocol-specific recv functions to remove the"HCI_UART_REGISTERED" guard without risking a null pointer dereferenceif hci_register_dev() fails.</t>
  </si>
  <si>
    <t>CVE-2026-53074</t>
  </si>
  <si>
    <t>In the Linux kernel, the following vulnerability has been resolved:bpf: reject short IPv4/IPv6 inputs in bpf_prog_test_run_skbbpf_prog_test_run_skb() calls eth_type_trans() first and then usesskb-&gt;protocol to initialize sk family and address fields for the testrun.For IPv4 and IPv6 packets, it may access ip_hdr(skb) or ipv6_hdr(skb)even when the provided test input only contains an Ethernet header.Reject the input earlier if the Ethernet frame carries IPv4/IPv6EtherType but the L3 header is too short.Fold the IPv4/IPv6 header length checks into the existing protocolswitch and return -EINVAL before accessing the network headers.</t>
  </si>
  <si>
    <t>CVE-2026-53075</t>
  </si>
  <si>
    <t>In the Linux kernel, the following vulnerability has been resolved:ppp: require CAP_NET_ADMIN in target netns for unattached ioctls/dev/ppp open is currently authorized against file-&gt;f_cred-&gt;user_ns,while unattached administrative ioctls operate on current-&gt;nsproxy-&gt;net_ns.As a result, a local unprivileged user can create a new user namespacewith CLONE_NEWUSER, gain CAP_NET_ADMIN only in that new user namespace,and still issue PPPIOCNEWUNIT, PPPIOCATTACH, or PPPIOCATTCHAN againstan inherited network namespace.Require CAP_NET_ADMIN in the user namespace that owns the target networknamespace before handling unattached PPP administrative ioctls.This preserves normal pppd operation in the network namespace it isactually privileged in, while rejecting the userns-only inherited-netnscase.</t>
  </si>
  <si>
    <t>CVE-2026-53076</t>
  </si>
  <si>
    <t>In the Linux kernel, the following vulnerability has been resolved:bpf: Fix OOB in pcpu_init_valueAn out-of-bounds read occurs when copying element from aBPF_MAP_TYPE_CGROUP_STORAGE map to another pcpu map with thesame value_size that is not rounded up to 8 bytes.The issue happens when:1. A CGROUP_STORAGE map is created with value_size not aligned to   8 bytes (e.g., 4 bytes)2. A pcpu map is created with the same value_size (e.g., 4 bytes)3. Update element in 2 with data in 1pcpu_init_value assumes that all sources are rounded up to 8 bytes,and invokes copy_map_value_long to make a data copy, However, theassumption doesn't stand since there are some cases where the sourcemay not be rounded up to 8 bytes, e.g., CGROUP_STORAGE, skb-&gt;data.the verifier verifies exactly the size that the source claims, notthe size rounded up to 8 bytes by kernel, an OOB happens when thesource has only 4 bytes while the copy size(4) is rounded up to 8.</t>
  </si>
  <si>
    <t>CVE-2026-53077</t>
  </si>
  <si>
    <t>In the Linux kernel, the following vulnerability has been resolved:net/rds: Restrict use of RDS/IB to the initial network namespacePrevent using RDS/IB in network namespaces other than the initial one.The existing RDS/IB code will not work properly in non-initial networknamespaces.</t>
  </si>
  <si>
    <t>CVE-2026-53079</t>
  </si>
  <si>
    <t>In the Linux kernel, the following vulnerability has been resolved:net_sched: fix skb memory leak in deferred qdisc dropsWhen the network stack cleans up the deferred list via qdisc_run_end(),it operates on the root qdisc. If the root qdisc do not implement theTCQ_F_DEQUEUE_DROPS flag the packets queue to free are never freed andgets stranded on the child's local to_free list.Fix this by making qdisc_dequeue_drop() aware of the root qdisc. Itfetches the root qdisc and check for the TCQ_F_DEQUEUE_DROPS flag. Ifthe flag is present, the packet is appended directly to the root'sto_free list. Otherwise, drop it directly as it was done before theoptimization was implemented.</t>
  </si>
  <si>
    <t>CVE-2026-53080</t>
  </si>
  <si>
    <t>In the Linux kernel, the following vulnerability has been resolved:net/sched: cls_fw: fix NULL dereference of "old" filters before change()Like pointed out by Sashiko [1], since commit ed76f5edccc9 ("net: sched:protect filter_chain list with filter_chain_lock mutex") TC filters areadded to a shared block and published to datapath before their -&gt;change()function is called. This is a problem for cls_fw: an invalid filtercreated with the "old" method can still classify some packets before itis destroyed by the validation logic added by Xiang.Therefore, insisting with repeated runs of the following script: # ip link add dev crash0 type dummy # ip link set dev crash0 up # mausezahn  crash0 -c 100000 -P 10 \ &gt; -A 4.3.2.1 -B 1.2.3.4 -t udp "dp=1234" -q &amp; # sleep 1 # tc qdisc add dev crash0 egress_block 1 clsact # tc filter add block 1 protocol ip prio 1 matchall \ &gt; action skbedit mark 65536 continue # tc filter add block 1 protocol ip prio 2 fw # ip link del dev crash0can still make fw_classify() hit the WARN_ON() in [2]: WARNING: ./include/net/pkt_cls.h:88 at fw_classify+0x244/0x250 [cls_fw],CPU#18: mausezahn/1399 Modules linked in: cls_fw(E) act_skbedit(E) CPU: 18 UID: 0 PID: 1399 Comm: mausezahn Tainted: G            E7.0.0-rc6-virtme #17 PREEMPT(full) Tainted: [E]=UNSIGNED_MODULE Hardware name: Red Hat KVM, BIOS 1.16.3-2.el9 04/01/2014 RIP: 0010:fw_classify+0x244/0x250 [cls_fw] Code: 5c 49 c7 45 00 00 00 00 00 41 5d 41 5e 41 5f 5d c3 cc cc cc cc 5b b8ff ff ff ff 41 5c 41 5d 41 5e 41 5f 5d c3 cc cc cc cc 90 &lt;0f&gt; 0b 90 eb a00f 1f 80 00 00 00 00 90 90 90 90 90 90 90 90 90 90 RSP: 0018:ffffd1b7026bf8a8 EFLAGS: 00010202 RAX: ffff8c5ac9c60800 RBX: ffff8c5ac99322c0 RCX: 0000000000000004 RDX: 0000000000000001 RSI: ffff8c5b74d7a000 RDI: ffff8c5ac8284f40 RBP: ffffd1b7026bf8d0 R08: 0000000000000000 R09: ffffd1b7026bf9b0 R10: 00000000ffffffff R11: 0000000000000000 R12: 0000000000010000 R13: ffffd1b7026bf930 R14: ffff8c5ac8284f40 R15: 0000000000000000 FS:  00007fca40c37740(0000) GS:ffff8c5b74d7a000(0000)knlGS:0000000000000000 CS:  0010 DS: 0000 ES: 0000 CR0: 0000000080050033 CR2: 00007fca40e822a0 CR3: 0000000005ca0001 CR4: 0000000000172ef0 Call Trace:  &lt;TASK&gt;  tcf_classify+0x17d/0x5c0  tc_run+0x9d/0x150  __dev_queue_xmit+0x2ab/0x14d0  ip_finish_output2+0x340/0x8f0  ip_output+0xa4/0x250  raw_sendmsg+0x147d/0x14b0  __sys_sendto+0x1cc/0x1f0  __x64_sys_sendto+0x24/0x30  do_syscall_64+0x126/0xf80  entry_SYSCALL_64_after_hwframe+0x77/0x7f RIP: 0033:0x7fca40e822ba Code: d8 64 89 02 48 c7 c0 ff ff ff ff eb b8 0f 1f 00 f3 0f 1e fa 41 89 ca64 8b 04 25 18 00 00 00 85 c0 75 15 b8 2c 00 00 00 0f 05 &lt;48&gt; 3d 00 f0 ffff 77 7e c3 0f 1f 44 00 00 41 54 48 83 ec 30 44 89 RSP: 002b:00007ffc248a42c8 EFLAGS: 00000246 ORIG_RAX: 000000000000002c RAX: ffffffffffffffda RBX: 000055ef233289d0 RCX: 00007fca40e822ba RDX: 000000000000001e RSI: 000055ef23328c30 RDI: 0000000000000003 RBP: 000055ef233289d0 R08: 00007ffc248a42d0 R09: 0000000000000010 R10: 0000000000000000 R11: 0000000000000246 R12: 000000000000001e R13: 00000000000186a0 R14: 0000000000000000 R15: 00007fca41043000  &lt;/TASK&gt; irq event stamp: 1045778 hardirqs last  enabled at (1045784): [&lt;ffffffff864ec042&gt;]__up_console_sem+0x52/0x60 hardirqs last disabled at (1045789): [&lt;ffffffff864ec027&gt;]__up_console_sem+0x37/0x60 softirqs last  enabled at (1045426): [&lt;ffffffff874d48c7&gt;]__alloc_skb+0x207/0x260 softirqs last disabled at (1045434): [&lt;ffffffff874fe8f8&gt;]__dev_queue_xmit+0x78/0x14d0Then, because of the value in the packet's mark, dereference on 'q-&gt;handle'with NULL 'q' occurs: BUG: kernel NULL  pointer dereference, address: 0000000000000038 [...] RIP: 0010:fw_classify+0x1fe/0x250 [cls_fw] [...]Skip "old-style" classification on shared blocks, so that the NULLdereference is fixed and WARN_ON() is not hit anymore in the shortlifetime of invalid cls_fw "old-style" filters.[1] https://sashiko.dev/#/patchset/2---truncated---</t>
  </si>
  <si>
    <t>CVE-2026-53081</t>
  </si>
  <si>
    <t>In the Linux kernel, the following vulnerability has been resolved:bpf: Enforce regsafe base id consistency for BPF_ADD_CONST scalarsWhen regsafe() compares two scalar registers that both carryBPF_ADD_CONST, check_scalar_ids() maps their full compound id(aka base | BPF_ADD_CONST flag) as one idmap entry. However,it never verifies that the underlying base ids, that is, withthe flag stripped are consistent with existing idmap mappings.This allows construction of two verifier states where the oldstate has R3 = R2 + 10 (both sharing base id A) while the currentstate has R3 = R4 + 10 (base id C, unrelated to R2). The idmapcreates two independent entries: A-&gt;B (for R2) and A|flag-&gt;C|flag(for R3), without catching that A-&gt;C conflicts with A-&gt;B. Statepruning then incorrectly succeeds.Fix this by additionally verifying base ID mapping consistencywhenever BPF_ADD_CONST is set: after mapping the compound ids,also invoke check_ids() on the base IDs (flag bits stripped).This ensures that if A was already mapped to B from comparingthe source register, any ADD_CONST derivative must also derivefrom B, not an unrelated C.</t>
  </si>
  <si>
    <t>CVE-2026-53082</t>
  </si>
  <si>
    <t>In the Linux kernel, the following vulnerability has been resolved:net: hamradio: 6pack: fix uninit-value in sixpack_receive_bufsixpack_receive_buf() does not properly skip bytes with TTY error flags.The while loop iterates through the flags buffer but never advances thedata pointer (cp), and passes the original count (including error bytes)to sixpack_decode(). This causes sixpack_decode() to process bytes thatshould have been skipped due to TTY errors.  The TTY layer does notguarantee that cp[i] holds a meaningful value when fp[i] is set, sopassing those positions to sixpack_decode() results in KMSAN reportingan uninit-value read.Fix this by processing bytes one at a time, advancing cp on eachiteration, and only passing valid (non-error) bytes to sixpack_decode().This matches the pattern used by slip_receive_buf() andmkiss_receive_buf() for the same purpose.</t>
  </si>
  <si>
    <t>CVE-2026-53083</t>
  </si>
  <si>
    <t>In the Linux kernel, the following vulnerability has been resolved:bpf: Fix RCU stall in bpf_fd_array_map_clear()Add a missing cond_resched() in bpf_fd_array_map_clear() loop.For PROG_ARRAY maps with many entries this loop callsprog_array_map_poke_run() per entry which can be expensive, andwithout yielding this can cause RCU stalls under load:  rcu: Stack dump where RCU GP kthread last ran:  CPU: 0 UID: 0 PID: 30932 Comm: kworker/0:2 Not tainted6.14.0-13195-g967e8def1100 #2 PREEMPT(undef)  Workqueue: events prog_array_map_clear_deferred  RIP: 0010:write_comp_data+0x38/0x90 kernel/kcov.c:246  Call Trace:   &lt;TASK&gt;   prog_array_map_poke_run+0x77/0x380 kernel/bpf/arraymap.c:1096   __fd_array_map_delete_elem+0x197/0x310 kernel/bpf/arraymap.c:925   bpf_fd_array_map_clear kernel/bpf/arraymap.c:1000 [inline]   prog_array_map_clear_deferred+0x119/0x1b0 kernel/bpf/arraymap.c:1141   process_one_work+0x898/0x19d0 kernel/workqueue.c:3238   process_scheduled_works kernel/workqueue.c:3319 [inline]   worker_thread+0x770/0x10b0 kernel/workqueue.c:3400   kthread+0x465/0x880 kernel/kthread.c:464   ret_from_fork+0x4d/0x80 arch/x86/kernel/process.c:153   ret_from_fork_asm+0x19/0x30 arch/x86/entry/entry_64.S:245   &lt;/TASK&gt;</t>
  </si>
  <si>
    <t>CVE-2026-53084</t>
  </si>
  <si>
    <t>In the Linux kernel, the following vulnerability has been resolved:bpf: return VMA snapshot from task_vma iteratorHolding the per-VMA lock across the BPF program body creates a lockordering problem when helpers acquire locks that depend on mmap_lock:  vm_lock -&gt; i_rwsem -&gt; mmap_lock -&gt; vm_lockSnapshot the VMA under the per-VMA lock in _next() via memcpy(), thendrop the lock before returning. The BPF program accesses only thesnapshot.The verifier only trusts vm_mm and vm_file pointers (seeBTF_TYPE_SAFE_TRUSTED_OR_NULL in verifier.c). vm_file is reference-counted with get_file() under the lock and released via fput() on thenext iteration or in _destroy(). vm_mm is already correct becauselock_vma_under_rcu() verifies vma-&gt;vm_mm == mm. All other pointersare left as-is by memcpy() since the verifier treats them as untrusted.</t>
  </si>
  <si>
    <t>CVE-2026-53085</t>
  </si>
  <si>
    <t>In the Linux kernel, the following vulnerability has been resolved:bpf: fix mm lifecycle in open-coded task_vma iteratorThe open-coded task_vma iterator reads task-&gt;mm locklessly and acquiresmmap_read_trylock() but never calls mmget(). If the task exitsconcurrently, the mm_struct can be freed as it is notSLAB_TYPESAFE_BY_RCU, resulting in a use-after-free.Safely read task-&gt;mm with a trylock on alloc_lock and acquire an mmreference. Drop the reference via bpf_iter_mmput_async() in _destroy()and error paths. bpf_iter_mmput_async() is a local wrapper aroundmmput_async() with a fallback to mmput() on !CONFIG_MMU.Reject irqs-disabled contexts (including NMI) up front. Operations usedby _next() and _destroy() (mmap_read_unlock, bpf_iter_mmput_async)take spinlocks with IRQs disabled (pool-&gt;lock, pi_lock). Running fromNMI or from a tracepoint that fires with those locks held coulddeadlock.A trylock on alloc_lock is used instead of the blocking task_lock()(get_task_mm) to avoid a deadlock when a softirq BPF program iteratesa task that already holds its alloc_lock on the same CPU.</t>
  </si>
  <si>
    <t>CVE-2026-53086</t>
  </si>
  <si>
    <t>In the Linux kernel, the following vulnerability has been resolved:net: bcmgenet: fix racing timeout handlerThe bcmgenet_timeout handler tries to take down all tx queues whena single queue times out. This is over zealous and causes many raceconditions with queues that are still chugging along. Instead letsonly restart the timed out queue.</t>
  </si>
  <si>
    <t>CVE-2026-53088</t>
  </si>
  <si>
    <t>In the Linux kernel, the following vulnerability has been resolved:net: bcmgenet: fix off-by-one in bcmgenet_put_txcbThe write_ptr points to the next open tx_cb. We want to return thetx_cb that gets rewinded, so we must rewind the pointer first thenreturn the tx_cb that it points to. That way the txcb can be correctlycleaned up.</t>
  </si>
  <si>
    <t>CVE-2026-53089</t>
  </si>
  <si>
    <t>In the Linux kernel, the following vulnerability has been resolved:bpf: Fix use-after-free in offloaded map/prog info fillWhen querying info for an offloaded BPF map or program,bpf_map_offload_info_fill_ns() and bpf_prog_offload_info_fill_ns()obtain the network namespace with get_net(dev_net(offmap-&gt;netdev)).However, the associated netdev's netns may be racing with teardownduring netns destruction. If the netns refcount has already reached 0,get_net() performs a refcount_t increment on 0, triggering:  refcount_t: addition on 0; use-after-free.Although rtnl_lock and bpf_devs_lock ensure the netdev pointer remainsvalid, they cannot prevent the netns refcount from reaching zero.Fix this by using maybe_get_net() instead of get_net(). maybe_get_net()uses refcount_inc_not_zero() and returns NULL if the refcount is alreadyzero, which causes ns_get_path_cb() to fail and the caller to return-ENOENT -- the correct behavior when the netns is being destroyed.</t>
  </si>
  <si>
    <t>CVE-2026-53090</t>
  </si>
  <si>
    <t>In the Linux kernel, the following vulnerability has been resolved:bpf: Fix ld_{abs,ind} failure path analysis in subprogsUsage of ld_{abs,ind} instructions got extended into subprogs some timeago via commit 09b28d76eac4 ("bpf: Add abnormal return checks."). Theseare only allowed in subprograms when the latter are BTF annotated andhave scalar return types.The code generator in bpf_gen_ld_abs() has an abnormal exit path (r0=0 +exit) from legacy cBPF times. While the enforcement is on scalar returntypes, the verifier must also simulate the path of abnormal exit if thepacket data load via ld_{abs,ind} failed.This is currently not the case. Fix it by having the verifier simulateboth success and failure paths, and extend it in similar ways as we dofor tail calls. The success path (r0=unknown, continue to next insn) ispushed onto stack for later validation and the r0=0 and return to thecaller is done on the fall-through side.</t>
  </si>
  <si>
    <t>CVE-2026-53091</t>
  </si>
  <si>
    <t>In the Linux kernel, the following vulnerability has been resolved:net: pull headers in qdisc_pkt_len_segs_init()Most ndo_start_xmit() methods expects headers of gso packetsto be already in skb-&gt;head.net/core/tso.c users are particularly at risk, because tso_build_hdr()does a memcpy(hdr, skb-&gt;data, hdr_len);qdisc_pkt_len_segs_init() already does a dissection of gso packets.Use pskb_may_pull() instead of skb_header_pointer() to makesure drivers do not have to reimplement this.Some malicious packets could be fed, detect them so that we candrop them sooner with a new SKB_DROP_REASON_SKB_BAD_GSO drop_reason.</t>
  </si>
  <si>
    <t>CVE-2026-53093</t>
  </si>
  <si>
    <t>In the Linux kernel, the following vulnerability has been resolved:wifi: brcmfmac: Fix error pointer dereferenceThe function brcmf_chip_add_core() can return an error pointer and isnot checked. Add checks for error pointer.Detected by Smatch:drivers/net/wireless/broadcom/brcm80211/brcmfmac/chip.c:1010brcmf_chip_recognition() error:'core' dereferencing possible ERR_PTR()drivers/net/wireless/broadcom/brcm80211/brcmfmac/chip.c:1013brcmf_chip_recognition() error:'core' dereferencing possible ERR_PTR()drivers/net/wireless/broadcom/brcm80211/brcmfmac/chip.c:1016brcmf_chip_recognition() error:'core' dereferencing possible ERR_PTR()drivers/net/wireless/broadcom/brcm80211/brcmfmac/chip.c:1019brcmf_chip_recognition() error:'core' dereferencing possible ERR_PTR()drivers/net/wireless/broadcom/brcm80211/brcmfmac/chip.c:1022brcmf_chip_recognition() error:'core' dereferencing possible ERR_PTR()[add missing wifi: prefix]</t>
  </si>
  <si>
    <t>CVE-2026-53095</t>
  </si>
  <si>
    <t>In the Linux kernel, the following vulnerability has been resolved:bpf: Fix abuse of kprobe_write_ctx via freplaceuprobe programs are allowed to modify struct pt_regs.Since the actual program type of uprobe is KPROBE, it can be abused tomodify struct pt_regs via kprobe+freplace when the kprobe attaches tokernel functions.For example,SEC("?kprobe")int kprobe(struct pt_regs *regs){return 0;}SEC("?freplace")int freplace_kprobe(struct pt_regs *regs){regs-&gt;di = 0;return 0;}freplace_kprobe prog will attach to kprobe prog.kprobe prog will attach to a kernel function.Without this patch, when the kernel function runs, its first arg willalways be set as 0 via the freplace_kprobe prog.To fix the abuse of kprobe_write_ctx=true via kprobe+freplace, disallowattaching freplace programs on kprobe programs with differentkprobe_write_ctx values.</t>
  </si>
  <si>
    <t>CVE-2026-53097</t>
  </si>
  <si>
    <t>In the Linux kernel, the following vulnerability has been resolved:wifi: mt76: mt7996: fix use-after-free bugs in mt7996_mac_dump_work()When the mt7996 pci chip is detaching, the mt7996_crash_data isreleased in mt7996_coredump_unregister(). However, the work itemdump_work may still be running or pending, leading to UAF bugswhen the already freed crash_data is dereferenced again inmt7996_mac_dump_work().The race condition can occur as follows:CPU 0 (removal path)               | CPU 1 (workqueue)mt7996_pci_remove()                | mt7996_sys_recovery_set() mt7996_unregister_device()        |  mt7996_reset()  mt7996_coredump_unregister()     |   queue_work()   vfree(dev-&gt;coredump.crash_data) | mt7996_mac_dump_work()                                   |  crash_data-&gt; // UAFFix this by ensuring dump_work is properly canceled beforethe crash_data is deallocated. Add cancel_work_sync() inmt7996_unregister_device() to synchronize with any pendingor executing dump work.</t>
  </si>
  <si>
    <t>CVE-2026-53098</t>
  </si>
  <si>
    <t>In the Linux kernel, the following vulnerability has been resolved:wifi: mt76: mt7915: fix use-after-free bugs in mt7915_mac_dump_work()When the mt7915 pci chip is detaching, the mt7915_crash_data isreleased in mt7915_coredump_unregister(). However, the work itemdump_work may still be running or pending, leading to UAF bugswhen the already freed crash_data is dereferenced again inmt7915_mac_dump_work().The race condition can occur as follows:CPU 0 (removal path)               | CPU 1 (workqueue)mt7915_pci_remove()                | mt7915_sys_recovery_set() mt7915_unregister_device()        |  mt7915_reset()  mt7915_coredump_unregister()     |   queue_work()   vfree(dev-&gt;coredump.crash_data) | mt7915_mac_dump_work()                                   |  crash_data-&gt; // UAFFix this by ensuring dump_work is properly canceled beforethe crash_data is deallocated. Add cancel_work_sync() inmt7915_unregister_device() to synchronize with any pendingor executing dump work.</t>
  </si>
  <si>
    <t>CVE-2026-53099</t>
  </si>
  <si>
    <t>In the Linux kernel, the following vulnerability has been resolved:bpf: Switch CONFIG_CFI_CLANG to CONFIG_CFIThis was renamed in commit 23ef9d439769 ("kcfi: Rename CONFIG_CFI_CLANGto CONFIG_CFI") as it is now a compiler-agnostic option. Using the wrongname results in the code getting compiled out. Meaning the CFI failuresfor btf_dtor_kfunc_t would still trigger.</t>
  </si>
  <si>
    <t>CVE-2026-53100</t>
  </si>
  <si>
    <t>In the Linux kernel, the following vulnerability has been resolved:wifi: mt76: fix deadlock in remain-on-channelmt76_remain_on_channel() and mt76_roc_complete() call mt76_set_channel()while already holding dev-&gt;mutex. Since mt76_set_channel() also acquiresdev-&gt;mutex, this results in a deadlock.Use __mt76_set_channel() instead of mt76_set_channel().Add cancel_delayed_work_sync() for mac_work before acquiring the mutexin mt76_remain_on_channel() to prevent a secondary deadlock with themac_work workqueue.</t>
  </si>
  <si>
    <t>CVE-2026-53101</t>
  </si>
  <si>
    <t>In the Linux kernel, the following vulnerability has been resolved:wifi: mt76: mt7921: fix potential deadlock in mt7921_roc_abort_syncroc_abort_sync() can deadlock with roc_work(). roc_work() holdsdev-&gt;mt76.mutex, while cancel_work_sync() waits for roc_work()to finish. If the caller already owns the same mutex, bothsides block and no progress is possible.This deadlock can occur during station removal whenmt76_sta_state() -&gt; mt76_sta_remove() -&gt; mt7921_mac_sta_remove() -&gt;mt7921_roc_abort_sync() invokes cancel_work_sync() whileroc_work() is still running and holding dev-&gt;mt76.mutex.This avoids the mutex deadlock and preserves exactly-oncework ownership.</t>
  </si>
  <si>
    <t>CVE-2026-53102</t>
  </si>
  <si>
    <t>In the Linux kernel, the following vulnerability has been resolved:wifi: mt76: Fix memory leak after mt76_connac_mcu_alloc_sta_req()mt76_connac_mcu_alloc_sta_req() allocates an skb which is expected tobe freed eventually by mt76_mcu_skb_send_msg(). However, currently ifan intermediate function fails before sending, the allocated skb isleaked.Specifically, mt76_connac_mcu_sta_wed_update() andmt76_connac_mcu_sta_key_tlv() may fail, leading to an immediate memoryleak in the error path.Fix this by explicitly freeing the skb in these error paths.Commit 7c0f63fe37a5 ("wifi: mt76: mt7996: fix memory leak onmt7996_mcu_sta_key_tlv error") made a similar change.Compile tested only. Issue found using a prototype static analysis tooland code review.</t>
  </si>
  <si>
    <t>CVE-2026-53103</t>
  </si>
  <si>
    <t>In the Linux kernel, the following vulnerability has been resolved:wifi: mt76: mt7925: fix potential deadlock in mt7925_roc_abort_syncroc_abort_sync() can deadlock with roc_work(). roc_work() holdsdev-&gt;mt76.mutex, while cancel_work_sync() waits for roc_work()to finish. If the caller already owns the same mutex, bothsides block and no progress is possible.This deadlock can occur during station removal whenmt76_sta_state() -&gt; mt76_sta_remove() -&gt;mt7925_mac_sta_remove_link() -&gt; mt7925_mac_link_sta_remove() -&gt;mt7925_roc_abort_sync() invokes cancel_work_sync() whileroc_work() is still running and holding dev-&gt;mt76.mutex.This avoids the mutex deadlock and preserves exactly-oncework ownership.</t>
  </si>
  <si>
    <t>CVE-2026-53104</t>
  </si>
  <si>
    <t>In the Linux kernel, the following vulnerability has been resolved:wifi: mt76: Fix memory leak destroying deviceAll MT76 rx queues have an associated page_pool even if the queue is notassociated to a NAPI (e.g. WED RRO queues with WED enabled). Destroy thepage_pool running mt76_dma_cleanup routine during module unload.Moreover returns pages to the page pool if WED is not enabled for WED RROqueues.</t>
  </si>
  <si>
    <t>CVE-2026-53105</t>
  </si>
  <si>
    <t>In the Linux kernel, the following vulnerability has been resolved:wifi: mt76: mt7925: prevent NULL vif dereference in mt7925_mac_write_txwiCheck for a NULL `vif` before accessing `ieee80211_vif_is_mld(vif)` toavoid a potential kernel panic in scenarios where `vif` might not beinitialized.</t>
  </si>
  <si>
    <t>CVE-2026-53106</t>
  </si>
  <si>
    <t>In the Linux kernel, the following vulnerability has been resolved:bpf: Do not allow deleting local storage in NMICurrently, local storage may deadlock when deferring freeing selem orlocal storage through kfree_rcu(), call_rcu() or call_rcu_tasks_trace()in NMI or reentrant. Since deleting selem in NMI is an unlikely usecase, partially mitigate it by returning error when calling frombpf_xxx_storage_delete() helpers in NMI. Note that, it is still possibleto deadlock through reentrant. A full mitigation requires returningerror when irqs_disabled() is true, which, however is too heavy-handedfor bpf_xxx_storage_delete().The long-term solution requires _nolock versions of call_rcu. Anotherpossible solution is to defer the free through irq_work [0], but itwould grow the size of selem, which is non-ideal.The check is only needed in bpf_selem_unlink(), which is used by helpersand syscalls. bpf_selem_unlink_nofail() is fine as it is called duringmap and owner tear down that never run in NMI or reentrant.[0]https://lore.kernel.org/bpf/20260205190233.912-1-alexei.starovoitov@gmail.com/</t>
  </si>
  <si>
    <t>CVE-2026-53107</t>
  </si>
  <si>
    <t>In the Linux kernel, the following vulnerability has been resolved:wifi: libertas: don't kill URBs in interrupt contextSerialization for the TX path was enforced by callingusb_kill_urb()/usb_kill_anchored_urbs(), to prevent transmission beforea previous URB was completed. usb_tx_block() can be called frominterrupt context (e.g. in the HCD giveback path), so we can't alwaysuse it to kill in-flight URBs.Prevent sleeping during interrupt context by checking the tx_submittedanchor for existing URBs. We now return -EBUSY, to indicate there'sa pending request.</t>
  </si>
  <si>
    <t>CVE-2026-53108</t>
  </si>
  <si>
    <t>In the Linux kernel, the following vulnerability has been resolved:powerpc/64s: Fix unmap race with PMD migration entriesThe following race is possible with migration swap entries ordevice-private THP entries. e.g. when move_pages is called on a PMD THPpage, then there maybe an intermediate state, where PMD entry acts asa migration swap entry (pmd_present() is true). Then if an munmaphappens at the same time, then this VM_BUG_ON() can happen inpmdp_huge_get_and_clear_full().This patch fixes that.Thread A: move_pages() syscall  add_folio_for_migration()    mmap_read_lock(mm)    folio_isolate_lru(folio)    mmap_read_unlock(mm)  do_move_pages_to_node()    migrate_pages()      try_to_migrate_one()        spin_lock(ptl)        set_pmd_migration_entry()          pmdp_invalidate()     # PMD: _PAGE_INVALID | _PAGE_PTE | pfn          set_pmd_at()          # PMD: migration swap entry (pmd_present=0)        spin_unlock(ptl)        [page copy phase]       # &lt;--- RACE WINDOW --&gt;Thread B: munmap()  mmap_write_downgrade(mm)  unmap_vmas() -&gt; zap_pmd_range()    zap_huge_pmd()      __pmd_trans_huge_lock()        pmd_is_huge():          # !pmd_present &amp;&amp; !pmd_none -&gt; TRUE (swapentry)        pmd_lock() -&gt; # spin_lock(ptl), waits for Thread A to release ptl      pmdp_huge_get_and_clear_full()        VM_BUG_ON(!pmd_present(*pmdp))  # HITS![  287.738700][ T1867] ------------[ cut here ]------------[  287.743843][ T1867] kernel BUG atarch/powerpc/mm/book3s64/pgtable.c:187!cpu 0x0: Vector: 700 (Program Check) at [c00000044037f4f0]    pc: c000000000094ca4: pmdp_huge_get_and_clear_full+0x6c/0x23c    lr: c000000000645dec: zap_huge_pmd+0xb0/0x868    sp: c00000044037f790   msr: 800000000282b033  current = 0xc0000004032c1a00  paca    = 0xc000000004fe0000   irqmask: 0x03   irq_happened: 0x09    pid   = 1867, comm = a.outkernel BUG at :187!Linux version 6.19.0-12136-g14360d4f917c-dirty (powerpc64le-linux-gnu-gcc(Debian 12.2.0-14) 12.2.0, GNU ld (GNU Binutils for Debian) 2.40) #27 SMPPREEMPT Sun Feb 22 10:38:56 IST 2026enter ? for help[link register   ] c000000000645dec zap_huge_pmd+0xb0/0x868[c00000044037f790] c00000044037f7d0 (unreliable)[c00000044037f7d0] c000000000645dcc zap_huge_pmd+0x90/0x868[c00000044037f840] c0000000005724cc unmap_page_range+0x176c/0x1f40[c00000044037fa00] c000000000572ea0 unmap_vmas+0xb0/0x1d8[c00000044037fa90] c0000000005af254 unmap_region+0xb4/0x128[c00000044037fb50] c0000000005af400 vms_complete_munmap_vmas+0x138/0x310[c00000044037fbe0] c0000000005b0f1c do_vmi_align_munmap+0x1ec/0x238[c00000044037fd30] c0000000005b3688 __vm_munmap+0x170/0x1f8[c00000044037fdf0] c000000000587f74 sys_munmap+0x2c/0x40[c00000044037fe10] c000000000032668 system_call_exception+0x128/0x350[c00000044037fe50] c00000000000d05c system_call_vectored_common+0x15c/0x2ec---- Exception: 3000 (System Call Vectored) at 0000000010064a2cSP (7fff9b1ee9c0) is in userspace0:mon&gt; zhcommit a30b48bf1b24 ("mm/migrate_device: implement THP migration of zonedevice pages"),enabled migration for device-private PMD entries. Hence this is oneother path where this warning could get trigger from. ------------[ cut here ]------------ WARNING: arch/powerpc/mm/book3s64/hash_pgtable.c:199 athash__pmd_hugepage_update+0x48/0x284, CPU#3: hmm-tests/1905 Modules linked in: test_hmm CPU: 3 UID: 0 PID: 1905 Comm: hmm-tests Tainted: G    B   W    L   N7.0.0-rc1-01438-g7e2f0ee7581c #21 PREEMPT Tainted: [B]=BAD_PAGE, [W]=WARN, [L]=SOFTLOCKUP, [N]=TEST Hardware name: IBM pSeries (emulated by qemu) POWER10 (architected)0x801200 0xf000006 of:SLOF,git-ee03ae pSeries NIP [c000000000096b70] hash__pmd_hugepage_update+0x48/0x284 LR [c000000000096e7c] hash__pmdp_huge_get_and_clear+0xd0/0xd4 Call Trace: [c000000604707670] [c000000004e102b8] 0xc000000004e102b8 (unreliable) [c000000604707700] [c00000000064ec3c] set_pmd_migration_entry+0x414/0x498 [c000000604707760] [c00000000063e5a4] migrate_vma_col---truncated---</t>
  </si>
  <si>
    <t>CVE-2026-53109</t>
  </si>
  <si>
    <t>In the Linux kernel, the following vulnerability has been resolved:powerpc/pgtable-frag: Fix bad page state in pte_frag_destroypowerpc uses pt_frag_refcount as a reference counter for tracking it'spte and pmd page table fragments. For PTE table, in case of Hash with64K pagesize, we have 16 fragments of 4K size in one 64K page.Patch series [1] "mm: free retracted page table by RCU"added pte_free_defer() to defer the freeing of PTE tables whenretract_page_tables() is called for madvise MADV_COLLAPSE on shmemrange.[1]:https://lore.kernel.org/all/7cd843a9-aa80-14f-5eb2-33427363c20@google.com/pte_free_defer() sets the active flag on the corresponding fragment'sfolio &amp; calls pte_fragment_free(), which reduces the pt_frag_refcount.When pt_frag_refcount reaches 0 (no active fragment using the folio), itchecks if the folio active flag is set, if set, it calls call_rcu tofree the folio, it the active flag is unset then it calls pte_free_now().Now, this can lead to following problem in a corner case...[  265.351553][  T183] BUG: Bad page state in process a.out  pfn:20d62[  265.353555][  T183] page: refcount:0 mapcount:0 mapping:0000000000000000index:0x0 pfn:0x20d62[  265.355457][  T183] flags:0x3ffff800000100(active|node=0|zone=0|lastcpupid=0x7ffff)[  265.358719][  T183] raw: 003ffff800000100 00000000000000005deadbeef0000122 0000000000000000[  265.360177][  T183] raw: 0000000000000000 c0000000119caf5800000000ffffffff 0000000000000000[  265.361438][  T183] page dumped because: PAGE_FLAGS_CHECK_AT_FREEflag(s) set[  265.362572][  T183] Modules linked in:[  265.364622][  T183] CPU: 0 UID: 0 PID: 183 Comm: a.out Not tainted6.18.0-rc3-00141-g1ddeaaace7ff-dirty #53 VOLUNTARY[  265.364785][  T183] Hardware name: IBM pSeries (emulated by qemu)POWER10 (architected) 0x801200 0xf000006 of:SLOF,git-ee03ae pSeries[  265.364908][  T183] Call Trace:[  265.364955][  T183] [c000000011e6f7c0] [c000000001cfaa18]dump_stack_lvl+0x130/0x148 (unreliable)[  265.365202][  T183] [c000000011e6f7f0] [c000000000794758]bad_page+0xb4/0x1c8[  265.365384][  T183] [c000000011e6f890] [c00000000079c020]__free_frozen_pages+0x838/0xd08[  265.365554][  T183] [c000000011e6f980] [c0000000000a70ac]pte_frag_destroy+0x298/0x310[  265.365729][  T183] [c000000011e6fa30] [c0000000000aa764]arch_exit_mmap+0x34/0x218[  265.365912][  T183] [c000000011e6fa80] [c000000000751698]exit_mmap+0xb8/0x820[  265.366080][  T183] [c000000011e6fc30] [c0000000001b1258]__mmput+0x98/0x300[  265.366244][  T183] [c000000011e6fc80] [c0000000001c81f8]do_exit+0x470/0x1508[  265.366421][  T183] [c000000011e6fd70] [c0000000001c95e4]do_group_exit+0x88/0x148[  265.366602][  T183] [c000000011e6fdc0] [c0000000001c96ec]pid_child_should_wake+0x0/0x178[  265.366780][  T183] [c000000011e6fdf0] [c00000000003a270]system_call_exception+0x1b0/0x4e0[  265.366958][  T183] [c000000011e6fe50] [c00000000000d05c]system_call_vectored_common+0x15c/0x2ecThe bad page state error occurs when such a folio gets freed (withactive flag set), from do_exit() path in parallel.... this can happen when the pte fragment was allocated from this folio,but when all the fragments get freed, the pte_frag_refcount still had someunused fragments. Now, if this process exits, with such folio as it'scachedpte_frag in mm-&gt;context, then during pte_frag_destroy(), we simply callpagetable_dtor() and pagetable_free(), meaning it doesn't clear theactive flag. This, can lead to the above bug. Since we are anyway indo_exit() path, then if the refcount is 0, then I guess it should beok to simply clear the folio active flag before calling pagetable_dtor()&amp; pagetable_free().</t>
  </si>
  <si>
    <t>CVE-2026-53111</t>
  </si>
  <si>
    <t>In the Linux kernel, the following vulnerability has been resolved:bpf: test_run: Fix the null pointer dereference issue inbpf_lwt_xmit_push_encapThe bpf_lwt_xmit_push_encap helper needs to access skb_dst(skb)-&gt;dev tocalculate the needed headroom:err = skb_cow_head(skb,   len + LL_RESERVED_SPACE(skb_dst(skb)-&gt;dev));But skb-&gt;_skb_refdst may not be initialized when the skb is set up bybpf_prog_test_run_skb function. Executing bpf_lwt_push_ip_encap functionin this scenario will trigger null pointer dereference, causing a kernelcrash as Yinhao reported:[  105.186365] BUG: kernel NULL pointer dereference, address:0000000000000000[  105.186382] #PF: supervisor read access in kernel mode[  105.186388] #PF: error_code(0x0000) - not-present page[  105.186393] PGD 121d3d067 P4D 121d3d067 PUD 106c83067 PMD 0[  105.186404] Oops: 0000 [#1] PREEMPT SMP NOPTI[  105.186412] CPU: 3 PID: 3250 Comm: poc Kdump: loaded Not tainted6.19.0-rc5 #1[  105.186423] Hardware name: QEMU Standard PC (Q35 + ICH9, 2009), BIOS1.16.3-debian-1.16.3-2 04/01/2014[  105.186427] RIP: 0010:bpf_lwt_push_ip_encap+0x1eb/0x520[  105.186443] Code: 0f 84 de 01 00 00 0f b7 4a 04 66 85 c9 0f 85 47 01 0000 31 c0 5b 5d 41 5c 41 5d 41 5e c3 cc cc cc cc 48 8b 73 58 48 83 e6 fe&lt;48&gt; 8b 36 0f b7 be ec 00 00 00 0f b7 b6 e6 00 00 00 01 fe 83 e6 f0[  105.186449] RSP: 0018:ffffbb0e0387bc50 EFLAGS: 00010246[  105.186455] RAX: 000000000000004e RBX: ffff94c74e036500 RCX:ffff94c74874da00[  105.186460] RDX: 0000000000000000 RSI: 0000000000000000 RDI:ffff94c74e036500[  105.186463] RBP: 0000000000000001 R08: 0000000000000002 R09:0000000000000000[  105.186467] R10: ffffbb0e0387bd50 R11: 0000000000000000 R12:ffffbb0e0387bc98[  105.186471] R13: 0000000000000014 R14: 0000000000000000 R15:0000000000000002[  105.186484] FS:  00007f166aa4d680(0000) GS:ffff94c8b7780000(0000)knlGS:0000000000000000[  105.186490] CS:  0010 DS: 0000 ES: 0000 CR0: 0000000080050033[  105.186494] CR2: 0000000000000000 CR3: 000000015eade001 CR4:0000000000770ee0[  105.186499] PKRU: 55555554[  105.186502] Call Trace:[  105.186507]  &lt;TASK&gt;[  105.186513]  bpf_lwt_xmit_push_encap+0x2b/0x40[  105.186522]  bpf_prog_a75eaad51e517912+0x41/0x49[  105.186536]  ? kvm_clock_get_cycles+0x18/0x30[  105.186547]  ? ktime_get+0x3c/0xa0[  105.186554]  bpf_test_run+0x195/0x320[  105.186563]  ? bpf_test_run+0x10f/0x320[  105.186579]  bpf_prog_test_run_skb+0x2f5/0x4f0[  105.186590]  __sys_bpf+0x69c/0xa40[  105.186603]  __x64_sys_bpf+0x1e/0x30[  105.186611]  do_syscall_64+0x59/0x110[  105.186620]  entry_SYSCALL_64_after_hwframe+0x76/0xe0[  105.186649] RIP: 0033:0x7f166a97455dTemporarily add the setting of skb-&gt;_skb_refdst before bpf_test_run toresolve the issue.</t>
  </si>
  <si>
    <t>CVE-2026-53112</t>
  </si>
  <si>
    <t>In the Linux kernel, the following vulnerability has been resolved:wifi: rtlwifi: pci: fix possible use-after-free caused by unfinishedirq_prepare_bcn_taskletThe irq_prepare_bcn_tasklet is initialized in rtl_pci_init() andscheduled when RTL_IMR_BCNINT interrupt is triggered by hardware.But it is never killed in rtl_pci_deinit(). When the rtlwifi cardprobe fails or is being detached, the ieee80211_hw is deallocated.However, irq_prepare_bcn_tasklet may still be running or pending,leading to use-after-free when the freed ieee80211_hw is accessedin _rtl_pci_prepare_bcn_tasklet().Similar to irq_tasklet, add tasklet_kill() in rtl_pci_deinit() toensure that irq_prepare_bcn_tasklet is properly terminated beforethe ieee80211_hw is released.The issue was identified through static analysis.</t>
  </si>
  <si>
    <t>CVE-2026-53113</t>
  </si>
  <si>
    <t>In the Linux kernel, the following vulnerability has been resolved:wifi: ath11k: fix memory leaks in beacon template setupThe functions ath11k_mac_setup_bcn_tmpl_ema() andath11k_mac_setup_bcn_tmpl_mbssid() allocate memory for beacon templatesbut fail to free it when parameter setup returns an error.Since beacon templates must be released during normal execution, theymust also be released in the error handling paths to prevent memoryleaks.Fix this by using unified exit paths with proper cleanup in the respectiveerror paths.Compile tested only. Issue found using a prototype static analysis tooland code review.</t>
  </si>
  <si>
    <t>CVE-2026-53114</t>
  </si>
  <si>
    <t>In the Linux kernel, the following vulnerability has been resolved:perf/amd/ibs: Avoid calling perf_allow_kernel() from the IBS NMI handlerCalling perf_allow_kernel() from the NMI context is unsafe and could befatal. Capture the permission at event-initialization time by storing itin event-&gt;hw.flags, and have the NMI handler rely on that cached flaginstead of making the call directly.</t>
  </si>
  <si>
    <t>CVE-2026-53115</t>
  </si>
  <si>
    <t>In the Linux kernel, the following vulnerability has been resolved:bus: fsl-mc: use generic driver_override infrastructureWhen a driver is probed through __driver_attach(), the bus' match()callback is called without the device lock held, thus accessing thedriver_override field without a lock, which can cause a UAF.Fix this by using the driver-core driver_override infrastructure takingcare of proper locking internally.Note that calling match() from __driver_attach() without the device lockheld is intentional. [1]</t>
  </si>
  <si>
    <t>CVE-2026-53116</t>
  </si>
  <si>
    <t>In the Linux kernel, the following vulnerability has been resolved:s390/ap: use generic driver_override infrastructureWhen the AP masks are updated via apmask_store() or aqmask_store(),ap_bus_revise_bindings() is called after ap_attr_mutex has beenreleased.This calls __ap_revise_reserved(), which accesses the driver_overridefield without holding any lock, racing against a concurrentdriver_override_store() that may free the old string, resulting in apotential UAF.Fix this by using the driver-core driver_override infrastructure, whichprotects all accesses with an internal spinlock.Note that unlike most other buses, the AP bus does not checkdriver_override in its match() callback; the override is checked inap_device_probe() and __ap_revise_reserved() instead.Also note that we do not enable the driver_override feature of structbus_type, as AP - in contrast to most other buses - passes "" tosysfs_emit() when the driver_override pointer is NULL. Thus, printing"\n" instead of "(null)\n".Additionally, AP has a custom counter that is modified in thecorresponding custom driver_override_store().</t>
  </si>
  <si>
    <t>CVE-2026-53117</t>
  </si>
  <si>
    <t>In the Linux kernel, the following vulnerability has been resolved:s390/cio: use generic driver_override infrastructureWhen a driver is probed through __driver_attach(), the bus' match()callback is called without the device lock held, thus accessing thedriver_override field without a lock, which can cause a UAF.Fix this by using the driver-core driver_override infrastructure takingcare of proper locking internally.Note that calling match() from __driver_attach() without the device lockheld is intentional. [1]</t>
  </si>
  <si>
    <t>CVE-2026-53118</t>
  </si>
  <si>
    <t>In the Linux kernel, the following vulnerability has been resolved:vdpa: use generic driver_override infrastructureWhen a driver is probed through __driver_attach(), the bus' match()callback is called without the device lock held, thus accessing thedriver_override field without a lock, which can cause a UAF.Fix this by using the driver-core driver_override infrastructure takingcare of proper locking internally.Note that calling match() from __driver_attach() without the device lockheld is intentional. [1]</t>
  </si>
  <si>
    <t>CVE-2026-53119</t>
  </si>
  <si>
    <t>In the Linux kernel, the following vulnerability has been resolved:platform/wmi: use generic driver_override infrastructureWhen a driver is probed through __driver_attach(), the bus' match()callback is called without the device lock held, thus accessing thedriver_override field without a lock, which can cause a UAF.Fix this by using the driver-core driver_override infrastructure takingcare of proper locking internally.Note that calling match() from __driver_attach() without the device lockheld is intentional. [1]</t>
  </si>
  <si>
    <t>CVE-2026-53120</t>
  </si>
  <si>
    <t>In the Linux kernel, the following vulnerability has been resolved:PCI: use generic driver_override infrastructureWhen a driver is probed through __driver_attach(), the bus' match()callback is called without the device lock held, thus accessing thedriver_override field without a lock, which can cause a UAF.Fix this by using the driver-core driver_override infrastructure takingcare of proper locking internally.Note that calling match() from __driver_attach() without the device lockheld is intentional. [1]</t>
  </si>
  <si>
    <t>CVE-2026-53121</t>
  </si>
  <si>
    <t>In the Linux kernel, the following vulnerability has been resolved:amd-pstate: Fix memory leak in amd_pstate_epp_cpu_init()On failure to set the epp, the function amd_pstate_epp_cpu_init()returns with an error code without freeing the cpudata object that wasallocated at the beginning of the function.Ensure that the cpudata object is freed before returning from thefunction.This memory leak was discovered by Claude Opus 4.6 with the aid ofChris Mason's AI review-prompts(https://github.com/masoncl/review-prompts/tree/main/kernel).</t>
  </si>
  <si>
    <t>CVE-2026-53122</t>
  </si>
  <si>
    <t>In the Linux kernel, the following vulnerability has been resolved:btrfs: fix deadlock between reflink and transaction commit when usingflushoncommitWhen using the flushoncommit mount option, we can have a deadlock betweena transaction commit and a reflink operation that copied an inline extentto an offset beyond the current i_size of the destination node.The deadlock happens like this:1) Task A clones an inline extent from inode X to an offset of inode Y   that is beyond Y's current i_size. This means we copied the inline   extent's data to a folio of inode Y that is beyond its EOF, using a   call to copy_inline_to_page();2) Task B starts a transaction commit and calls   btrfs_start_delalloc_flush() to flush delalloc;3) The delalloc flushing sees the new dirty folio of inode Y and when it   attempts to flush it, it ends up at extent_writepage() and sees that   the offset of the folio is beyond the i_size of inode Y, so it attempts   to invalidate the folio by calling folio_invalidate(), which ends up at   btrfs' folio invalidate callback - btrfs_invalidate_folio(). There it   tries to lock the folio's range in inode Y's extent io tree, but it   blocks since it's currently locked by task A - during a reflink we lock   the inodes and the source and destination ranges after flushing all   delalloc and waiting for ordered extent completion - after that we   don't expect to have dirty folios in the ranges, the exception is if   we have to copy an inline extent's data (because the destination offset   is not zero);4) Task A then attempts to start a transaction to update the inode item,   and then it's blocked since the current transaction is in the   TRANS_STATE_COMMIT_START state. Therefore task A has to wait for the   current transaction to become unblocked (its state &gt;=   TRANS_STATE_UNBLOCKED).   So task A is waiting for the transaction commit done by task B, and   the later waiting on the extent lock of inode Y that is currently   held by task A.Syzbot recently reported this with the following stack traces:  INFO: task kworker/u8:7:1053 blocked for more than 143 seconds.        Not tainted syzkaller #0  "echo 0 &gt; /proc/sys/kernel/hung_task_timeout_secs" disables this message.  task:kworker/u8:7    state:D stack:23520 pid:1053  tgid:1053  ppid:2task_flags:0x4208060 flags:0x00080000  Workqueue: writeback wb_workfn (flush-btrfs-46)  Call Trace:   &lt;TASK&gt;   context_switch kernel/sched/core.c:5298 [inline]   __schedule+0x1553/0x5240 kernel/sched/core.c:6911   __schedule_loop kernel/sched/core.c:6993 [inline]   schedule+0x164/0x360 kernel/sched/core.c:7008   wait_extent_bit fs/btrfs/extent-io-tree.c:811 [inline]   btrfs_lock_extent_bits+0x59c/0x700 fs/btrfs/extent-io-tree.c:1914   btrfs_lock_extent fs/btrfs/extent-io-tree.h:152 [inline]   btrfs_invalidate_folio+0x43d/0xc40 fs/btrfs/inode.c:7704   extent_writepage fs/btrfs/extent_io.c:1852 [inline]   extent_write_cache_pages fs/btrfs/extent_io.c:2580 [inline]   btrfs_writepages+0x12ff/0x2440 fs/btrfs/extent_io.c:2713   do_writepages+0x32e/0x550 mm/page-writeback.c:2554   __writeback_single_inode+0x133/0x11a0 fs/fs-writeback.c:1750   writeback_sb_inodes+0x995/0x19d0 fs/fs-writeback.c:2042   wb_writeback+0x456/0xb70 fs/fs-writeback.c:2227   wb_do_writeback fs/fs-writeback.c:2374 [inline]   wb_workfn+0x41a/0xf60 fs/fs-writeback.c:2414   process_one_work kernel/workqueue.c:3276 [inline]   process_scheduled_works+0xb6e/0x18c0 kernel/workqueue.c:3359   worker_thread+0xa53/0xfc0 kernel/workqueue.c:3440   kthread+0x388/0x470 kernel/kthread.c:436   ret_from_fork+0x51e/0xb90 arch/x86/kernel/process.c:158   ret_from_fork_asm+0x1a/0x30 arch/x86/entry/entry_64.S:245   &lt;/TASK&gt;  INFO: task syz.4.64:6910 blocked for more than 143 seconds.        Not tainted syzkaller #0  "echo 0 &gt; /proc/sys/kernel/hung_task_timeout_secs" disables this message.  task:syz.4.64        state:D stack:22752 pid:6910  tgid:---truncated---</t>
  </si>
  <si>
    <t>CVE-2026-53123</t>
  </si>
  <si>
    <t>In the Linux kernel, the following vulnerability has been resolved:md: wake raid456 reshape waiters before suspendDuring raid456 reshape, direct IO across the reshape position can sleepin raid5_make_request() waiting for reshape progress while stillholding an active_io reference. If userspace then freezes reshape andwrites md/suspend_lo or md/suspend_hi, mddev_suspend() kills active_ioand waits for all in-flight IO to drain.This can deadlock: the IO needs reshape progress to continue, but thereshape thread is already frozen, so the active_io reference is neverdropped and suspend never completes.raid5_prepare_suspend() already wakes wait_for_reshape for dm-raid. Dothe same for normal md suspend when reshape is already interrupted, sowaiting raid456 IO can abort, drop its reference, and let suspendfinish.The mdadm test tests/25raid456-reshape-deadlock reproduces the hang.</t>
  </si>
  <si>
    <t>CVE-2026-53124</t>
  </si>
  <si>
    <t>In the Linux kernel, the following vulnerability has been resolved:ublk: reset per-IO canceled flag on each fetchIf a ublk server starts recovering devices but dies before issuing fetchcommands for all IOs, cancellation of the fetch commands that weresuccessfully issued may never complete. This is because the per-IOcanceled flag can remain set even after the fetch for that IO has beensubmitted - the per-IO canceled flags for all IOs in a queue are resettogether only once all IOs for that queue have been fetched. So if anonempty proper subset of the IOs for a queue are fetched when the ublkserver dies, the IOs in that subset will never successfully be canceled,as their canceled flags remain set, and this prevents ublk_cancel_cmdfrom actually calling io_uring_cmd_done on the commands, despite thefact that they are outstanding.Fix this by resetting the per-IO cancel flags immediately when each IOis fetched instead of waiting for all IOs for the queue (which may neverhappen).</t>
  </si>
  <si>
    <t>CVE-2026-53125</t>
  </si>
  <si>
    <t>In the Linux kernel, the following vulnerability has been resolved:md: fix array_state=clear sysfs deadlockWhen "clear" is written to array_state, md_attr_store() breaks sysfsactive protection so the array can delete itself from its own sysfsstore method.However, md_attr_store() currently drops the mddev reference beforecalling sysfs_unbreak_active_protection(). Once do_md_stop(..., 0)has made the mddev eligible for delayed deletion, the temporarykobject reference taken by sysfs_break_active_protection() can becomethe last kobject reference protecting the md kobject.That allows sysfs_unbreak_active_protection() to drop the lastkobject reference from the current sysfs writer context. kobjectteardown then recurses into kernfs removal while the current sysfsnode is still being unwound, and lockdep reports recursive locking onkn-&gt;active with kernfs_drain() in the call chain.Reproducer on an existing level:1. Create an md0 linear array and activate it:   mknod /dev/md0 b 9 0   echo none &gt; /sys/block/md0/md/metadata_version   echo linear &gt; /sys/block/md0/md/level   echo 1 &gt; /sys/block/md0/md/raid_disks   echo "$(cat /sys/class/block/sdb/dev)" &gt; /sys/block/md0/md/new_dev   echo "$(($(cat /sys/class/block/sdb/size) / 2))" &gt; \/sys/block/md0/md/dev-sdb/size   echo 0 &gt; /sys/block/md0/md/dev-sdb/slot   echo active &gt; /sys/block/md0/md/array_state2. Wait briefly for the array to settle, then clear it:   sleep 2   echo clear &gt; /sys/block/md0/md/array_stateThe warning looks like:  WARNING: possible recursive locking detected  bash/588 is trying to acquire lock:  (kn-&gt;active#65) at __kernfs_remove+0x157/0x1d0  but task is already holding lock:  (kn-&gt;active#65) at sysfs_unbreak_active_protection+0x1f/0x40  ...  Call Trace:   kernfs_drain   __kernfs_remove   kernfs_remove_by_name_ns   sysfs_remove_group   sysfs_remove_groups   __kobject_del   kobject_put   md_attr_store   kernfs_fop_write_iter   vfs_write   ksys_writeRestore active protection before mddev_put() so the extra sysfskobject reference is dropped while the mddev is still held alive. Theactual md kobject deletion is then deferred until after the sysfswrite path has fully returned.</t>
  </si>
  <si>
    <t>CVE-2026-53126</t>
  </si>
  <si>
    <t>In the Linux kernel, the following vulnerability has been resolved:blk-cgroup: fix disk reference leak in blkcg_maybe_throttle_current()Add the missing put_disk() on the error path inblkcg_maybe_throttle_current(). When blkcg lookup, blkg lookup, orblkg_tryget() fails, the function jumps to the out label which onlycalls rcu_read_unlock() but does not release the disk reference acquiredby blkcg_schedule_throttle() via get_device(). Since current-&gt;throttle_diskis already set to NULL before the lookup, blkcg_exit() cannot releasethis reference either, causing the disk to never be freed.Restore the reference release that was present as blk_put_queue() in theoriginal code but was inadvertently dropped during the conversion fromrequest_queue to gendisk.</t>
  </si>
  <si>
    <t>CVE-2026-53127</t>
  </si>
  <si>
    <t>In the Linux kernel, the following vulnerability has been resolved:block: fix zones_cond memory leak on zone revalidation error pathsWhen blk_revalidate_disk_zones() fails afterdisk_revalidate_zone_resources()has allocated args.zones_cond, the memory is leaked because no error pathfrees it.</t>
  </si>
  <si>
    <t>CVE-2026-53128</t>
  </si>
  <si>
    <t>In the Linux kernel, the following vulnerability has been resolved:drbd: Balance RCU calls in drbd_adm_dump_devices()Make drbd_adm_dump_devices() call rcu_read_lock() beforercu_read_unlock() is called. This has been detected by the Clangthread-safety analyzer.</t>
  </si>
  <si>
    <t>CVE-2026-53130</t>
  </si>
  <si>
    <t>In the Linux kernel, the following vulnerability has been resolved:fs/omfs: reject s_sys_blocksize smaller than OMFS_DIR_STARTomfs_fill_super() rejects oversized s_sys_blocksize values (&gt; PAGE_SIZE),but it does not reject values smaller than OMFS_DIR_START (0x1b8 = 440).Later, omfs_make_empty() uses    sbi-&gt;s_sys_blocksize - OMFS_DIR_STARTas the length argument to memset().  Since s_sys_blocksize is u32,a crafted filesystem image with s_sys_blocksize &lt; OMFS_DIR_START causesan unsigned underflow there, wrapping to a value near 2^32.  That drivesa ~4 GiB memset() from bh-&gt;b_data + OMFS_DIR_START and overwrites kernelmemory far beyond the backing block buffer.Add the corresponding lower-bound check alongside the existing upper-boundcheck in omfs_fill_super(), so that malformed images are rejected duringsuperblock validation before any filesystem data is processed.</t>
  </si>
  <si>
    <t>CVE-2026-53131</t>
  </si>
  <si>
    <t>In the Linux kernel, the following vulnerability has been resolved:netfilter: require Ethernet MAC header before using eth_hdr()`ip6t_eui64`, `xt_mac`, the `bitmap:ip,mac`, `hash:ip,mac`, and`hash:mac` ipset types, and `nf_log_syslog` access `eth_hdr(skb)`after either assuming that the skb is associated with an Ethernetdevice or checking only that the `ETH_HLEN` bytes at`skb_mac_header(skb)` lie between `skb-&gt;head` and `skb-&gt;data`.Make these paths first verify that the skb is associated with anEthernet device, that the MAC header was set, and that it spans atleast a full Ethernet header before accessing `eth_hdr(skb)`.</t>
  </si>
  <si>
    <t>CVE-2026-53132</t>
  </si>
  <si>
    <t>In the Linux kernel, the following vulnerability has been resolved:vsock/virtio: fix potential unbounded skb queuevirtio_transport_inc_rx_pkt() checks vvs-&gt;rx_bytes + len &gt; vvs-&gt;buf_alloc.virtio_transport_recv_enqueue() skips coalescing for packetswith VIRTIO_VSOCK_SEQ_EOM.If fed with packets with len == 0 and VIRTIO_VSOCK_SEQ_EOM,a very large number of packets can be queuedbecause vvs-&gt;rx_bytes stays at 0.Fix this by estimating the skb metadata size:(Number of skbs in the queue) * SKB_TRUESIZE(0)</t>
  </si>
  <si>
    <t>CVE-2026-53133</t>
  </si>
  <si>
    <t>In the Linux kernel, the following vulnerability has been resolved:RDMA/umem: Fix truncation for block sizes &gt;= 4GWhen the iommu is used the linearization of the mapping can give a singleblock that is very large split across multiple SG entries.When __rdma_block_iter_next() reassembles the split SG entries it isoverflowing the 32 bit stack values and computed the wrong DMA addressesfor blocks after the truncation.Use the right types to hold DMA addresses.</t>
  </si>
  <si>
    <t>CVE-2026-53134</t>
  </si>
  <si>
    <t>In the Linux kernel, the following vulnerability has been resolved:netfilter: nft_fib: fix stale stack leak via the OIFNAME registerFor NFT_FIB_RESULT_OIFNAME the destination register is declared withlen = IFNAMSIZ (four 32-bit registers), but on the lookup-fail,RTN_LOCAL and oif-mismatch paths nft_fib{4,6}_eval() only writes oneregister via "*dest = 0". The remaining three registers are left aswhatever was on the stack in nft_do_chain()'s struct nft_regs, and adownstream expression that loads the register span can leak thatuninitialised kernel stack to userspace.The NFTA_FIB_F_PRESENT existence check has the same shape: it is onlymeaningful for NFT_FIB_RESULT_OIF, yet it was accepted for any result typewhile the eval stores a single byte via nft_reg_store8(), leaving the restof the declared span stale.Fix both: - replace the bare "*dest = 0" in the eval with nft_fib_store_result(),   which strscpy_pad()s the whole IFNAMSIZ for OIFNAME (and is already   used on the other early-return path), and - restrict NFTA_FIB_F_PRESENT to NFT_FIB_RESULT_OIF and declare its   destination as a single u8, so the marked span matches the one byte   the eval writes.</t>
  </si>
  <si>
    <t>CVE-2026-53135</t>
  </si>
  <si>
    <t>In the Linux kernel, the following vulnerability has been resolved:drm/amd/display: Fix NULL deref and buffer over-read in SDP debugfs[Why &amp; How]dp_sdp_message_debugfs_write() dereferences connector-&gt;base.state-&gt;crtcwithout checking for NULL. A connector can be connected but not bound toany CRTC (e.g. after hot-plug before the next atomic commit), causing akernel crash when writing to the sdp_message debugfs node.The function also ignores the user-provided size argument and alwayspasses 36 bytes to copy_from_user(), reading past the user buffer whensize &lt; 36.Fix both issues by:- Returning -ENODEV when connector-&gt;base.state or state-&gt;crtc is NULL- Clamping write_size to min(size, sizeof(data))(cherry picked from commit 6ab4c36a522842ff70474a1c0af2e40e50fc8300)</t>
  </si>
  <si>
    <t>CVE-2026-53136</t>
  </si>
  <si>
    <t>In the Linux kernel, the following vulnerability has been resolved:drm/amd/display: Clamp VBIOS HDMI retimer register count to array size[Why &amp; How]The VBIOS integrated info tables (v1_11 and v2_1) contain HdmiRegNum andHdmi6GRegNum fields that are used as loop bounds when copying retimer I2Cregister settings into fixed-size arrays (dp*_ext_hdmi_reg_settings[9]and dp*_ext_hdmi_6g_reg_settings[3]). These u8 fields are not validatedbefore use, so a malformed VBIOS can specify values up to 255, causing anout-of-bounds heap write during driver probe.Clamp each register count to the destination array size using min_t()before the copy loops, in both get_integrated_info_v11() andget_integrated_info_v2_1().(cherry picked from commit 5a7f0ef90195940c54b0f5bb85b87da55f038c69)</t>
  </si>
  <si>
    <t>CVE-2026-53137</t>
  </si>
  <si>
    <t>In the Linux kernel, the following vulnerability has been resolved:drm/amd/display: Clamp HDMI HDCP2 rx_id_list read to buffer size[Why &amp; How]During HDCP 2.x repeater authentication over HDMI, the driver reads thesink's RxStatus register and extracts a 10-bit message size field (maxvalue 1023). This value is used as the read length for the ReceiverIDlist without being clamped to the size of the destination bufferrx_id_list[177]. A malicious HDMI repeater could advertise a messagesize larger than the buffer, causing an out-of-bounds write during theI2C read.Clamp the read length in mod_hdcp_read_rx_id_list() to the size of therx_id_list buffer, matching the approach already used in the DP branch.(cherry picked from commit 229212219e4247d9486f8ba41ef087358490be09)</t>
  </si>
  <si>
    <t>CVE-2026-53138</t>
  </si>
  <si>
    <t>CVE-2026-53139</t>
  </si>
  <si>
    <t>In the Linux kernel, the following vulnerability has been resolved:drm/v3d: Skip CSD when it has zeroed workgroupsA compute shader dispatch encodes its workgroup counts in the CFG0..CFG2registers. Kicking off a dispatch with a zero count in any of the threedimensions is invalid. First, the hardware will process 0 as 65536,while the user-space driver exposes a maximum of 65535. Over that, asubmission with a zeroed workgroup dimension should be a no-op.These zeroed counts can reach the dispatch path through an indirect CSDjob, whose workgroup counts are only known once the indirect buffer isread and may legitimately be zero, but such scenario should only result ina no-op.Overwrite the indirect CSD job workgroup counts with the indirect BOones, even if they are zeroed, and don't submit the job to the hardwarewhen any of the workgroup counts is zero, so the job completes immediatelyinstead of running the shader.</t>
  </si>
  <si>
    <t>CVE-2026-53140</t>
  </si>
  <si>
    <t>In the Linux kernel, the following vulnerability has been resolved:drm/v3d: Fix vaddr leak when indirect CSD has zeroed workgroupsv3d_rewrite_csd_job_wg_counts_from_indirect() maps both the indirectbuffer and the workgroup buffer and is expected to release them beforereturning. When any of the workgroup counts read from the buffer is zero,the function bailed out early and skipped the cleanup, leaking the vaddrmappings of both BOs.Jump to the cleanup path instead of returning directly, so the mappingsare always dropped.</t>
  </si>
  <si>
    <t>CVE-2026-53141</t>
  </si>
  <si>
    <t>In the Linux kernel, the following vulnerability has been resolved:drm/v3d: Fix global performance monitor reference countingIn the SET_GLOBAL ioctl, v3d_perfmon_find() bumps the reference count onthe perfmon it returns, but v3d_perfmon_set_global_ioctl() andv3d_perfmon_delete() fail to release that reference on several paths:  1. v3d_perfmon_set_global_ioctl() leaks the reference on its error     paths.  2. CLEAR_GLOBAL leaks both the find reference and the reference     previously stashed in v3d-&gt;global_perfmon by the SET_GLOBAL ioctl     that configured it.  3. Destroying a perfmon that is the current global perfmon leaks the     reference stashed by the SET_GLOBAL ioctl.Release each of these references explicitly.</t>
  </si>
  <si>
    <t>CVE-2026-53142</t>
  </si>
  <si>
    <t>In the Linux kernel, the following vulnerability has been resolved:drm/xe/display: fix oops in suspend/shutdown without displayThe xe driver keeps track of whether to probe display, and whetherdisplay hardware is there, using xe-&gt;info.probe_display. It gets set tofalse if there's no display after intel_display_device_probe(). However,the display may also be disabled via fuses, detected at a later time inintel_display_device_info_runtime_init().In this case, the xe driver does for_each_intel_crtc() on uninitializedmode config in xe_display_flush_cleanup_work(), leading to a NULLpointer dereference, and generally calls display code with display infocleared.Check for intel_display_device_present() afterintel_display_device_info_runtime_init(), and resetxe-&gt;info.probe_display as necessary. Also do unset_display_features()for completeness, although display runtime init has already donethat. This will need to be unified across all cases later.Move intel_display_device_info_runtime_init() call slightly earlier,similar to i915, to avoid a bunch of unnecessary setup for no displaycases.Note #1: The xe driver has no business doing low level display plumbinglike for_each_intel_crtc() to begin with. It all needs to happen indisplay code.Note #2: The actual bug is present already in commit 44e694958b95("drm/xe/display: Implement display support"), but the oops was likelyintroduced later at commit ddf6492e0e50 ("drm/xe/display: Make displaysuspend/resume work on discrete").(cherry picked from commit 7c3eb9f47533220888a67266448185fd0775d4da)</t>
  </si>
  <si>
    <t>CVE-2026-53143</t>
  </si>
  <si>
    <t>CVE-2026-53144</t>
  </si>
  <si>
    <t>In the Linux kernel, the following vulnerability has been resolved:drm/amdkfd: fix NULL dereference in get_queue_ids()When usr_queue_id_array is NULL and num_queues is non-zero,get_queue_ids() returns NULL. The callers check only IS_ERR() on thereturn value; since IS_ERR(NULL) == false the check passes, andsuspend_queues() calls q_array_invalidate() which immediatelydereferences NULL while iterating num_queues times.Userspace can trigger this via kfd_ioctl_set_debug_trap() by supplyingnum_queues &gt; 0 with a zero queue_array_ptr, causing a kernel panic.A NULL usr_queue_id_array with num_queues == 0 is a legitimate no-op(q_array_invalidate never executes, and resume_queues already guardsall queue_ids dereferences behind a NULL check). Return ERR_PTR(-EINVAL)only when num_queues is non-zero and the pointer is absent; both callersalready propagate IS_ERR() returns correctly to userspace.(cherry picked from commit f165a82cdf503884bb1797771c61b2fcc72113d4)</t>
  </si>
  <si>
    <t>CVE-2026-53145</t>
  </si>
  <si>
    <t>CVE-2026-53146</t>
  </si>
  <si>
    <t>In the Linux kernel, the following vulnerability has been resolved:thunderbolt: Limit XDomain response copy to actual frame sizetb_xdomain_copy() copies req-&gt;response_size bytes from the receivedpacket buffer regardless of the actual frame size.  When a shortresponse arrives, this reads past the valid frame data in the DMApool buffer into stale contents from previous transactions.Use the minimum of frame size and expected response size for thecopy length.</t>
  </si>
  <si>
    <t>CVE-2026-53147</t>
  </si>
  <si>
    <t>In the Linux kernel, the following vulnerability has been resolved:thunderbolt: Validate XDomain request packet size before type casttb_xdp_handle_request() casts the received packet buffer toprotocol-specific structs without verifying that the allocationis large enough for the target type.  A peer can send a minimalXDomain packet that passes the generic header length check but isshorter than the struct accessed after the cast, causing out-of-bounds reads from the kmemdup allocation.Plumb the packet length through xdomain_request_work and validateit against the expected struct size before each cast.</t>
  </si>
  <si>
    <t>CVE-2026-53148</t>
  </si>
  <si>
    <t>CVE-2026-53149</t>
  </si>
  <si>
    <t>In the Linux kernel, the following vulnerability has been resolved:thunderbolt: Bound root directory content to block size__tb_property_parse_dir() does not check that content_offset +content_len fits within block_len for the root directory case.When rootdir-&gt;length equals or exceeds block_len - 2, the entryloop reads past the allocated property block.Add a bounds check after computing content_offset and content_lento reject directories whose content extends past the block.</t>
  </si>
  <si>
    <t>CVE-2026-53150</t>
  </si>
  <si>
    <t>In the Linux kernel, the following vulnerability has been resolved:thunderbolt: Reject zero-length property entries in validatortb_property_entry_valid() accepts entries with length == 0 forDIRECTORY, DATA, and TEXT types.  A zero-length TEXT entry passesvalidation but causes an underflow in the null-termination logic:  property-&gt;value.text[property-&gt;length * 4 - 1] = '\0';When property-&gt;length is 0 this writes to offset -1 relative tothe allocation.Reject zero-length entries early in the validator since they have novalid representation in the XDomain property protocol.</t>
  </si>
  <si>
    <t>CVE-2026-53151</t>
  </si>
  <si>
    <t>In the Linux kernel, the following vulnerability has been resolved:rxrpc: Fix the ACK parser to extract the SACK table for parsingFix modification of the received skbuff in rxrpc_input_soft_acks() and apotential incorrect access of the buffer in a fragmented UDP packet (thepacket would probably have to be deliberately pre-generated as fragmented)when AF_RXRPC tries to extract the contents of the SACK table by copyingout the contents of the SACK table into a buffer before attempting to parseAF_RXRPC assumes that it can just call skb_condense() and then validlyaccess the SACK table from skb-&gt;data and that it will be a flat buffer -but skb_condense() can silently fail to do anything under somecircumstances.Note that whilst rxrpc_input_soft_acks() should be able to parse extendedACKs, the rest of AF_RXRPC doesn't currently support that.Further, there's then no need to call skb_condense() in rxrpc_input_ack(),so don't.</t>
  </si>
  <si>
    <t>CVE-2026-53152</t>
  </si>
  <si>
    <t>CVE-2026-53153</t>
  </si>
  <si>
    <t>CVE-2026-53154</t>
  </si>
  <si>
    <t>CVE-2026-53155</t>
  </si>
  <si>
    <t>CVE-2026-53156</t>
  </si>
  <si>
    <t>CVE-2026-53157</t>
  </si>
  <si>
    <t>CVE-2026-53158</t>
  </si>
  <si>
    <t>CVE-2026-53159</t>
  </si>
  <si>
    <t>CVE-2026-53163</t>
  </si>
  <si>
    <t>CVE-2026-53164</t>
  </si>
  <si>
    <t>CVE-2026-53165</t>
  </si>
  <si>
    <t>CVE-2026-53166</t>
  </si>
  <si>
    <t>CVE-2026-53167</t>
  </si>
  <si>
    <t>In the Linux kernel, the following vulnerability has been resolved:fuse: limit FUSE_NOTIFY_RETRIEVE to uptodate foliosFUSE_NOTIFY_RETRIEVE must be limited to uptodate folios; !uptodate folioscan contain uninitialized data.Since FUSE_NOTIFY_RETRIEVE is intended to only return data that is alreadyin the page cache and not wait for data from the FUSE daemon, treat!uptodate folios as if they weren't present.This only has security impact on systems that don't enable automaticzero-initialization of all page allocations viaCONFIG_INIT_ON_ALLOC_DEFAULT_ON or init_on_alloc=1.</t>
  </si>
  <si>
    <t>CVE-2026-53168</t>
  </si>
  <si>
    <t>CVE-2026-53169</t>
  </si>
  <si>
    <t>In the Linux kernel, the following vulnerability has been resolved:accel/ethosu: reject NPU_OP_RESIZE commands from userspaceNPU_OP_RESIZE is a U85-only command that the driver does not yetimplement. The existing WARN_ON(1) placeholder fires unconditionallywhenever userspace submits this command via DRM_IOCTL_ETHOSU_GEM_CREATE,causing unbounded kernel log spam.If panic_on_warn is set the kernel panics, giving any unprivileged userwith access to the DRM device a trivial denial-of-service primitive.Replace the WARN_ON(1) with an explicit -EINVAL return so the ioctlrejects the command before it reaches hardware.</t>
  </si>
  <si>
    <t>CVE-2026-53170</t>
  </si>
  <si>
    <t>In the Linux kernel, the following vulnerability has been resolved:accel/ethosu: reject DMA commands with uninitialized lengthcmd_state_init() initializes the command state with memset(0xff),leaving dma-&gt;len at U64_MAX to signal missing setup. The only setteris NPU_SET_DMA0_LEN; if userspace omits this command and issuesNPU_OP_DMA_START, dma-&gt;len remains U64_MAX.In dma_length(), a positive stride added to U64_MAX wraps to a smallvalue. With size0 == 1, check_mul_overflow() does not trigger anddma_length() returns 0 instead of U64_MAX. The caller's U64_MAX checkthen passes, region_size[] stays 0, and the bounds check inethosu_job.c is bypassed, allowing hardware to execute DMA with stalephysical addresses.Fix by checking for U64_MAX at the start of dma_length() before anyarithmetic, consistent with the sentinel value used throughout thedriver to detect uninitialized fields.</t>
  </si>
  <si>
    <t>CVE-2026-53171</t>
  </si>
  <si>
    <t>In the Linux kernel, the following vulnerability has been resolved:accel/ethosu: fix arithmetic issues in dma_length()dma_length() derives DMA region usage from command stream values andupdates region_size[]:    len = ((len + stride[0]) * size0 + stride[1]) * size1    region_size[region] = max(..., len + dma-&gt;offset)Several arithmetic issues can corrupt the derived region size:- signed stride values may underflow when added to len- intermediate multiplications may overflow- len + dma-&gt;offset may overflow during region_size updates- dma_length() error returns were not validated by the callerregion_size[] is later used by ethosu_job.c to validate command streamaccesses against GEM buffer sizes. Arithmetic wraparound can thereforeunder-report region usage and bypass the bounds validation.Fix by validating signed additions, using overflow helpers formultiplications and offset updates, and propagating dma_length()failures to the caller.</t>
  </si>
  <si>
    <t>CVE-2026-53172</t>
  </si>
  <si>
    <t>In the Linux kernel, the following vulnerability has been resolved:accel/ethosu: fix IFM region index out-of-bounds in command stream parserNPU_SET_IFM_REGION extracts the region index with param &amp; 0x7f, givinga maximum value of 127. However region_size[] and output_region[] instruct ethosu_validated_cmdstream_info are both sized toNPU_BASEP_REGION_MAX (8), giving valid indices [0..7].Every other region assignment in the same switch uses param &amp; 0x7:  NPU_SET_OFM_REGION:  st.ofm.region  = param &amp; 0x7;  NPU_SET_IFM2_REGION: st.ifm2.region = param &amp; 0x7;  NPU_SET_WEIGHT_REGION: st.weight[0].region = param &amp; 0x7;  NPU_SET_SCALE_REGION:  st.scale[0].region  = param &amp; 0x7;The 0x7f mask on IFM is inconsistent and appears to be a typo.feat_matrix_length() and calc_sizes() use the region index directlyas an array subscript into the kzalloc'd info struct:  info-&gt;region_size[fm-&gt;region] = max(...);A userspace caller supplying NPU_SET_IFM_REGION with param &gt; 7 causesa write up to 127*8 = 1016 bytes past the start of region_size[],corrupting adjacent kernel heap data.Fix by applying the same &amp; 0x7 mask used by all other regionassignments.</t>
  </si>
  <si>
    <t>CVE-2026-53173</t>
  </si>
  <si>
    <t>In the Linux kernel, the following vulnerability has been resolved:accel/ethosu: fix OOB write in ethosu_gem_cmdstream_copy_and_validate()The command stream parsing loop increments the index variable a secondtime when a 64-bit command word is encountered (bit 14 set), but doesnot re-check the loop bound before writing the second word:    for (i = 0; i &lt; size / 4; i++) {        bocmds[i] = cmds[0];        if (cmd &amp; 0x4000) {            i++;            bocmds[i] = cmds[1];   /* unchecked */        }    }The buffer bocmds is backed by a DMA allocation of exactly size bytesfrom drm_gem_dma_create(ddev, size), giving valid indices [0, size/4-1].When i == size/4 - 1 on entry to an iteration and bit 14 of cmds[0] isset, bocmds[size/4-1] is written in bounds, i is then incremented tosize/4, and bocmds[size/4] writes four bytes past the end of theallocation.Userspace controls both the buffer contents and the size argument viathe ioctl, making this a userspace-triggerable heap out-of-bounds write.Fix by checking the incremented index against the buffer bound beforethe second write and returning -EINVAL if the buffer is too small tocontain the extended command.</t>
  </si>
  <si>
    <t>CVE-2026-53174</t>
  </si>
  <si>
    <t>In the Linux kernel, the following vulnerability has been resolved:ovl: keep err zero after successful ovl_cache_get()ovl_iterate_merged() stores PTR_ERR(cache) in err before checkingIS_ERR(cache). On success err holds the truncated cache pointer andcan be returned as a bogus non-zero error.The syzbot reproducer reaches this through overlay-on-overlay readdir:  getdents64    iterate_dir(outer overlay file)      ovl_iterate_merged()        ovl_cache_get()          ovl_dir_read_merged()            ovl_dir_read()              iterate_dir(inner overlay file)                ovl_iterate_merged()Only compute PTR_ERR(cache) on the error path.</t>
  </si>
  <si>
    <t>CVE-2026-53175</t>
  </si>
  <si>
    <t>In the Linux kernel, the following vulnerability has been resolved:inet: frags: fix use-after-free caused by the fqdir_pre_exit() flushOn netns teardown, fqdir_pre_exit() walks the fqdir rhashtable andflushes every fragment queue that is not yet complete usinginet_frag_queue_flush(). That helper frees all the skbs queued on thefragment queue but does not set INET_FRAG_COMPLETE, and leavesq-&gt;fragments_tail and q-&gt;last_run_head pointing at the freed skbs.The queue itself stays in the rhashtable.fqdir_pre_exit() first lowers high_thresh to 0 to stop new queue lookups,but it cannot stop a fragment that already obtained the queue throughinet_frag_find() earlier and stalled just before taking the queue lock.Once that fragment resumes after the flush and takes the queue lock,it passes the INET_FRAG_COMPLETE check and then dereferences the freedfragments_tail. inet_frag_queue_insert() reads FRAG_CB() and -&gt;len ofthat pointer and, on the append path, writes -&gt;next_frag, causing aslab use-after-free. IPv6, nf_conntrack_reasm6 and 6lowpan reassemblyshare the same flush path and are affected as well.Reset rb_fragments, fragments_tail and last_run_head ininet_frag_queue_flush() so a flushed queue no longer points at thefreed skbs. A fragment that resumes after the flush and takes thequeue lock then finds an empty queue and starts a new run instead ofdereferencing the freed fragments_tail. ip_frag_reinit() alreadyperformed this reset after its own flush, so drop the now duplicatecode there.</t>
  </si>
  <si>
    <t>CVE-2026-53176</t>
  </si>
  <si>
    <t>In the Linux kernel, the following vulnerability has been resolved:IB/isert: Reject login PDUs shorter than ISER_HEADERS_LENIn drivers/infiniband/ulp/isert/ib_isert.c, isert_login_recv_done()computes the login request payload length as wc-&gt;byte_len minusISER_HEADERS_LEN with no lower bound, and login_req_len is a signed int.A remote iSER initiator can post a login Send work request carryingfewer than ISER_HEADERS_LEN (76) bytes, so the subtraction underflowsand login_req_len becomes negative.isert_rx_login_req() then reads that negative length back into a signedint, takes size = min(rx_buflen, MAX_KEY_VALUE_PAIRS), and because themin() is signed it keeps the negative value; the value is then passed asthe memcpy() length and sign-extended to a multi-gigabyte size_t. Thecopy into the 8192-byte login-&gt;req_buf runs far out of bounds andfaults, crashing the target node. The login phase precedes iSCSIauthentication, so no credentials are required to reach this path.Reject any login PDU shorter than ISER_HEADERS_LEN before thesubtraction, mirroring the existing early return on a failed workcompletion, so login_req_len can never go negative. The upper bound wasalready safe: a posted login buffer cannot deliver more thanISER_RX_PAYLOAD_SIZE, so the difference stays at or belowMAX_KEY_VALUE_PAIRS and the existing min() clamps it; only the missinglower bound needs to be added.</t>
  </si>
  <si>
    <t>CVE-2026-53177</t>
  </si>
  <si>
    <t>CVE-2026-53178</t>
  </si>
  <si>
    <t>In the Linux kernel, the following vulnerability has been resolved:staging: rtl8723bs: rtw_mlme: add bounds checks before ie_lengthsubtractionAdd guards to ensure ie_length is large enough before subtractingfixed IE offsets to prevent unsigned integer underflow.</t>
  </si>
  <si>
    <t>CVE-2026-53179</t>
  </si>
  <si>
    <t>In the Linux kernel, the following vulnerability has been resolved:staging: rtl8723bs: fix buffer over-read in rtw_update_protectionrtw_update_protection() is called with a pointer offset into theies buffer but the full ie_length is passed, causing a potentialbuffer over-read.</t>
  </si>
  <si>
    <t>CVE-2026-53180</t>
  </si>
  <si>
    <t>In the Linux kernel, the following vulnerability has been resolved:timers/migration: Fix livelock in tmigr_handle_remote_up()tmigr_handle_remote_cpu() skips timer_expire_remote() when cpu ==smp_processor_id(), assuming the local softirq path already handled thisCPU's timers.This assumption is wrong because jiffies can advance after the handling ofthe CPU's global timers in run_timer_base(BASE_GLOBAL) and beforetmigr_handle_remote() evaluates the expiry times.As a consequence a timer which expires after the CPU local timer wheeladvanced and becomes expired in the remote handling is ignored and thecallback is never invoked and removed from the timer wheel.What's worse is that fetch_next_timer_interrupt_remote() keeps reporting itas expired, and the event is re-queued with expires == now on eachiteration.  The goto-again loop spins indefinitely.Fix this by calling timer_expire_remote() unconditionally. That's minimaloverhead for the common case as __run_timer_base() returns immediately ifthere is nothing to expire in the local wheel.[ tglx: Amend change log and add a comment ]</t>
  </si>
  <si>
    <t>CVE-2026-53181</t>
  </si>
  <si>
    <t>In the Linux kernel, the following vulnerability has been resolved:vsock/vmci: fix sk_ack_backlog leak on failed handshakeWhen vmci_transport_recv_connecting_server() returns an error,vmci_transport_recv_listen() calls vsock_remove_pending() but nevercalls sk_acceptq_removed(). This leaves sk_ack_backlog incrementedpermanently.Repeated handshake failures (malformed packets, queue pair allocfailure, event subscribe failure) cause sk_ack_backlog to climbtoward sk_max_ack_backlog. Once it reaches the limit the listenerpermanently refuses all new connections with -ECONNREFUSED, asilent denial of service requiring a process restart to recover.The two existing sk_acceptq_removed() calls in af_vsock.c do notcover this path: line 764 checks vsock_is_pending() which returnsfalse after vsock_remove_pending(), and line 1889 is only reachedon successful accept().Fix by balancing sk_acceptq_added() with sk_acceptq_removed() onthe error path.</t>
  </si>
  <si>
    <t>CVE-2026-53182</t>
  </si>
  <si>
    <t>CVE-2026-53183</t>
  </si>
  <si>
    <t>CVE-2026-53184</t>
  </si>
  <si>
    <t>CVE-2026-53185</t>
  </si>
  <si>
    <t>CVE-2026-53186</t>
  </si>
  <si>
    <t>CVE-2026-53187</t>
  </si>
  <si>
    <t>CVE-2026-53188</t>
  </si>
  <si>
    <t>CVE-2026-53189</t>
  </si>
  <si>
    <t>CVE-2026-53190</t>
  </si>
  <si>
    <t>CVE-2026-53191</t>
  </si>
  <si>
    <t>CVE-2026-53192</t>
  </si>
  <si>
    <t>CVE-2026-53193</t>
  </si>
  <si>
    <t>CVE-2026-53194</t>
  </si>
  <si>
    <t>CVE-2026-53195</t>
  </si>
  <si>
    <t>CVE-2026-53196</t>
  </si>
  <si>
    <t>CVE-2026-53197</t>
  </si>
  <si>
    <t>CVE-2026-53198</t>
  </si>
  <si>
    <t>CVE-2026-53199</t>
  </si>
  <si>
    <t>CVE-2026-53200</t>
  </si>
  <si>
    <t>CVE-2026-53201</t>
  </si>
  <si>
    <t>CVE-2026-53202</t>
  </si>
  <si>
    <t>CVE-2026-53203</t>
  </si>
  <si>
    <t>CVE-2026-53204</t>
  </si>
  <si>
    <t>CVE-2026-53205</t>
  </si>
  <si>
    <t>CVE-2026-53206</t>
  </si>
  <si>
    <t>CVE-2026-53207</t>
  </si>
  <si>
    <t>CVE-2026-53208</t>
  </si>
  <si>
    <t>CVE-2026-53209</t>
  </si>
  <si>
    <t>CVE-2026-53210</t>
  </si>
  <si>
    <t>CVE-2026-53211</t>
  </si>
  <si>
    <t>CVE-2026-53212</t>
  </si>
  <si>
    <t>CVE-2026-53213</t>
  </si>
  <si>
    <t>CVE-2026-53214</t>
  </si>
  <si>
    <t>CVE-2026-53215</t>
  </si>
  <si>
    <t>CVE-2026-53216</t>
  </si>
  <si>
    <t>CVE-2026-53217</t>
  </si>
  <si>
    <t>CVE-2026-53218</t>
  </si>
  <si>
    <t>CVE-2026-53219</t>
  </si>
  <si>
    <t>CVE-2026-53220</t>
  </si>
  <si>
    <t>CVE-2026-53221</t>
  </si>
  <si>
    <t>CVE-2026-53222</t>
  </si>
  <si>
    <t>CVE-2026-53223</t>
  </si>
  <si>
    <t>CVE-2026-53224</t>
  </si>
  <si>
    <t>CVE-2026-53225</t>
  </si>
  <si>
    <t>CVE-2026-53226</t>
  </si>
  <si>
    <t>CVE-2026-53227</t>
  </si>
  <si>
    <t>CVE-2026-53228</t>
  </si>
  <si>
    <t>CVE-2026-53229</t>
  </si>
  <si>
    <t>CVE-2026-53230</t>
  </si>
  <si>
    <t>CVE-2026-53231</t>
  </si>
  <si>
    <t>CVE-2026-53232</t>
  </si>
  <si>
    <t>CVE-2026-53233</t>
  </si>
  <si>
    <t>CVE-2026-53236</t>
  </si>
  <si>
    <t>CVE-2026-53237</t>
  </si>
  <si>
    <t>CVE-2026-53238</t>
  </si>
  <si>
    <t>CVE-2026-53239</t>
  </si>
  <si>
    <t>CVE-2026-53240</t>
  </si>
  <si>
    <t>CVE-2026-53241</t>
  </si>
  <si>
    <t>CVE-2026-53242</t>
  </si>
  <si>
    <t>CVE-2026-53243</t>
  </si>
  <si>
    <t>CVE-2026-53244</t>
  </si>
  <si>
    <t>CVE-2026-53245</t>
  </si>
  <si>
    <t>CVE-2026-53246</t>
  </si>
  <si>
    <t>CVE-2026-53247</t>
  </si>
  <si>
    <t>CVE-2026-53248</t>
  </si>
  <si>
    <t>CVE-2026-53249</t>
  </si>
  <si>
    <t>CVE-2026-53251</t>
  </si>
  <si>
    <t>CVE-2026-53252</t>
  </si>
  <si>
    <t>CVE-2026-53254</t>
  </si>
  <si>
    <t>CVE-2026-53255</t>
  </si>
  <si>
    <t>CVE-2026-53256</t>
  </si>
  <si>
    <t>CVE-2026-53257</t>
  </si>
  <si>
    <t>CVE-2026-53258</t>
  </si>
  <si>
    <t>CVE-2026-53259</t>
  </si>
  <si>
    <t>CVE-2026-53260</t>
  </si>
  <si>
    <t>CVE-2026-53261</t>
  </si>
  <si>
    <t>CVE-2026-53263</t>
  </si>
  <si>
    <t>CVE-2026-53264</t>
  </si>
  <si>
    <t>CVE-2026-53265</t>
  </si>
  <si>
    <t>CVE-2026-53267</t>
  </si>
  <si>
    <t>CVE-2026-53268</t>
  </si>
  <si>
    <t>CVE-2026-53269</t>
  </si>
  <si>
    <t>CVE-2026-53270</t>
  </si>
  <si>
    <t>CVE-2026-53271</t>
  </si>
  <si>
    <t>CVE-2026-53272</t>
  </si>
  <si>
    <t>CVE-2026-53273</t>
  </si>
  <si>
    <t>CVE-2026-53274</t>
  </si>
  <si>
    <t>CVE-2026-53275</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</si>
</sst>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rgb="FFFFFFFF"/>
      <name val="Arial"/>
    </font>
    <font>
      <sz val="10.0"/>
      <color theme="1"/>
      <name val="Arial"/>
    </font>
    <font>
      <b/>
      <sz val="10.0"/>
      <color theme="1"/>
      <name val="Arial"/>
    </font>
    <font>
      <b/>
      <sz val="12.0"/>
      <color rgb="FF000000"/>
      <name val="Arial"/>
    </font>
  </fonts>
  <fills count="3">
    <fill>
      <patternFill patternType="none"/>
    </fill>
    <fill>
      <patternFill patternType="lightGray"/>
    </fill>
    <fill>
      <patternFill patternType="solid">
        <fgColor rgb="FF1F3864"/>
        <bgColor rgb="FF1F3864"/>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0"/>
    </xf>
    <xf borderId="1" fillId="0" fontId="2" numFmtId="0" xfId="0" applyAlignment="1" applyBorder="1" applyFont="1">
      <alignment shrinkToFit="0" vertical="top" wrapText="0"/>
    </xf>
    <xf borderId="1" fillId="0" fontId="3" numFmtId="0" xfId="0" applyAlignment="1" applyBorder="1" applyFont="1">
      <alignment shrinkToFit="0" vertical="bottom" wrapText="0"/>
    </xf>
    <xf borderId="1" fillId="0" fontId="2" numFmtId="0" xfId="0" applyAlignment="1" applyBorder="1" applyFont="1">
      <alignment shrinkToFit="0" vertical="top" wrapText="1"/>
    </xf>
    <xf borderId="0" fillId="0" fontId="4"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22.0"/>
    <col customWidth="1" min="3" max="3" width="20.0"/>
    <col customWidth="1" min="4" max="4" width="26.0"/>
    <col customWidth="1" min="5" max="5" width="20.0"/>
    <col customWidth="1" min="6" max="6" width="14.0"/>
    <col customWidth="1" min="7" max="7" width="26.0"/>
    <col customWidth="1" min="8" max="8" width="55.0"/>
    <col customWidth="1" min="9" max="26" width="8.71"/>
  </cols>
  <sheetData>
    <row r="1">
      <c r="A1" s="1" t="s">
        <v>0</v>
      </c>
      <c r="B1" s="1" t="s">
        <v>1</v>
      </c>
      <c r="C1" s="1" t="s">
        <v>2</v>
      </c>
      <c r="D1" s="1" t="s">
        <v>3</v>
      </c>
      <c r="E1" s="1" t="s">
        <v>4</v>
      </c>
      <c r="F1" s="1" t="s">
        <v>5</v>
      </c>
      <c r="G1" s="1" t="s">
        <v>6</v>
      </c>
      <c r="H1" s="1" t="s">
        <v>7</v>
      </c>
    </row>
    <row r="2">
      <c r="A2" s="2" t="s">
        <v>8</v>
      </c>
      <c r="B2" s="2" t="s">
        <v>9</v>
      </c>
      <c r="C2" s="2" t="s">
        <v>10</v>
      </c>
      <c r="D2" s="2" t="s">
        <v>11</v>
      </c>
      <c r="E2" s="2" t="s">
        <v>12</v>
      </c>
      <c r="F2" s="2" t="s">
        <v>13</v>
      </c>
      <c r="G2" s="3" t="str">
        <f t="shared" ref="G2:G1088" si="1">IF(E2="Not yet scored","Pending evaluation",IF(F2="Yes",IF(OR(E2="9.0-10.0 (Critical)",E2="7.0-8.9 (High)"),"P1 - Immediate","P2 - This week (elevated: in KEV)"),IF(OR(E2="9.0-10.0 (Critical)",E2="7.0-8.9 (High)"),"P2 - This week","P3 - Backlog")))</f>
        <v>P1 - Immediate</v>
      </c>
      <c r="H2" s="4" t="s">
        <v>14</v>
      </c>
    </row>
    <row r="3">
      <c r="A3" s="2" t="s">
        <v>16</v>
      </c>
      <c r="B3" s="2" t="s">
        <v>9</v>
      </c>
      <c r="C3" s="2" t="s">
        <v>10</v>
      </c>
      <c r="D3" s="2" t="s">
        <v>11</v>
      </c>
      <c r="E3" s="2" t="s">
        <v>17</v>
      </c>
      <c r="F3" s="2" t="s">
        <v>13</v>
      </c>
      <c r="G3" s="3" t="str">
        <f t="shared" si="1"/>
        <v>P2 - This week (elevated: in KEV)</v>
      </c>
      <c r="H3" s="4" t="s">
        <v>19</v>
      </c>
    </row>
    <row r="4">
      <c r="A4" s="2" t="s">
        <v>20</v>
      </c>
      <c r="B4" s="2" t="s">
        <v>9</v>
      </c>
      <c r="C4" s="2" t="s">
        <v>10</v>
      </c>
      <c r="D4" s="2" t="s">
        <v>11</v>
      </c>
      <c r="E4" s="2" t="s">
        <v>12</v>
      </c>
      <c r="F4" s="2" t="s">
        <v>21</v>
      </c>
      <c r="G4" s="3" t="str">
        <f t="shared" si="1"/>
        <v>P2 - This week</v>
      </c>
      <c r="H4" s="4" t="s">
        <v>22</v>
      </c>
    </row>
    <row r="5">
      <c r="A5" s="2" t="s">
        <v>23</v>
      </c>
      <c r="B5" s="2" t="s">
        <v>9</v>
      </c>
      <c r="C5" s="2" t="s">
        <v>10</v>
      </c>
      <c r="D5" s="2" t="s">
        <v>11</v>
      </c>
      <c r="E5" s="2" t="s">
        <v>12</v>
      </c>
      <c r="F5" s="2" t="s">
        <v>21</v>
      </c>
      <c r="G5" s="3" t="str">
        <f t="shared" si="1"/>
        <v>P2 - This week</v>
      </c>
      <c r="H5" s="4" t="s">
        <v>24</v>
      </c>
    </row>
    <row r="6">
      <c r="A6" s="2" t="s">
        <v>25</v>
      </c>
      <c r="B6" s="2" t="s">
        <v>9</v>
      </c>
      <c r="C6" s="2" t="s">
        <v>10</v>
      </c>
      <c r="D6" s="2" t="s">
        <v>11</v>
      </c>
      <c r="E6" s="2" t="s">
        <v>12</v>
      </c>
      <c r="F6" s="2" t="s">
        <v>21</v>
      </c>
      <c r="G6" s="3" t="str">
        <f t="shared" si="1"/>
        <v>P2 - This week</v>
      </c>
      <c r="H6" s="4" t="s">
        <v>26</v>
      </c>
    </row>
    <row r="7">
      <c r="A7" s="2" t="s">
        <v>27</v>
      </c>
      <c r="B7" s="2" t="s">
        <v>9</v>
      </c>
      <c r="C7" s="2" t="s">
        <v>10</v>
      </c>
      <c r="D7" s="2" t="s">
        <v>11</v>
      </c>
      <c r="E7" s="2" t="s">
        <v>12</v>
      </c>
      <c r="F7" s="2" t="s">
        <v>21</v>
      </c>
      <c r="G7" s="3" t="str">
        <f t="shared" si="1"/>
        <v>P2 - This week</v>
      </c>
      <c r="H7" s="4" t="s">
        <v>28</v>
      </c>
    </row>
    <row r="8">
      <c r="A8" s="2" t="s">
        <v>29</v>
      </c>
      <c r="B8" s="2" t="s">
        <v>9</v>
      </c>
      <c r="C8" s="2" t="s">
        <v>10</v>
      </c>
      <c r="D8" s="2" t="s">
        <v>11</v>
      </c>
      <c r="E8" s="2" t="s">
        <v>12</v>
      </c>
      <c r="F8" s="2" t="s">
        <v>21</v>
      </c>
      <c r="G8" s="3" t="str">
        <f t="shared" si="1"/>
        <v>P2 - This week</v>
      </c>
      <c r="H8" s="4" t="s">
        <v>30</v>
      </c>
    </row>
    <row r="9">
      <c r="A9" s="2" t="s">
        <v>31</v>
      </c>
      <c r="B9" s="2" t="s">
        <v>9</v>
      </c>
      <c r="C9" s="2" t="s">
        <v>10</v>
      </c>
      <c r="D9" s="2" t="s">
        <v>11</v>
      </c>
      <c r="E9" s="2" t="s">
        <v>12</v>
      </c>
      <c r="F9" s="2" t="s">
        <v>21</v>
      </c>
      <c r="G9" s="3" t="str">
        <f t="shared" si="1"/>
        <v>P2 - This week</v>
      </c>
      <c r="H9" s="4" t="s">
        <v>32</v>
      </c>
    </row>
    <row r="10">
      <c r="A10" s="2" t="s">
        <v>33</v>
      </c>
      <c r="B10" s="2" t="s">
        <v>34</v>
      </c>
      <c r="C10" s="2" t="s">
        <v>36</v>
      </c>
      <c r="D10" s="2" t="s">
        <v>37</v>
      </c>
      <c r="E10" s="2" t="s">
        <v>12</v>
      </c>
      <c r="F10" s="2" t="s">
        <v>21</v>
      </c>
      <c r="G10" s="3" t="str">
        <f t="shared" si="1"/>
        <v>P2 - This week</v>
      </c>
      <c r="H10" s="4" t="s">
        <v>38</v>
      </c>
    </row>
    <row r="11">
      <c r="A11" s="2" t="s">
        <v>33</v>
      </c>
      <c r="B11" s="2" t="s">
        <v>39</v>
      </c>
      <c r="C11" s="2" t="s">
        <v>36</v>
      </c>
      <c r="D11" s="2" t="s">
        <v>37</v>
      </c>
      <c r="E11" s="2" t="s">
        <v>12</v>
      </c>
      <c r="F11" s="2" t="s">
        <v>21</v>
      </c>
      <c r="G11" s="3" t="str">
        <f t="shared" si="1"/>
        <v>P2 - This week</v>
      </c>
      <c r="H11" s="4" t="s">
        <v>38</v>
      </c>
    </row>
    <row r="12">
      <c r="A12" s="2" t="s">
        <v>33</v>
      </c>
      <c r="B12" s="2" t="s">
        <v>40</v>
      </c>
      <c r="C12" s="2" t="s">
        <v>36</v>
      </c>
      <c r="D12" s="2" t="s">
        <v>37</v>
      </c>
      <c r="E12" s="2" t="s">
        <v>12</v>
      </c>
      <c r="F12" s="2" t="s">
        <v>21</v>
      </c>
      <c r="G12" s="3" t="str">
        <f t="shared" si="1"/>
        <v>P2 - This week</v>
      </c>
      <c r="H12" s="4" t="s">
        <v>38</v>
      </c>
    </row>
    <row r="13">
      <c r="A13" s="2" t="s">
        <v>41</v>
      </c>
      <c r="B13" s="2" t="s">
        <v>34</v>
      </c>
      <c r="C13" s="2" t="s">
        <v>36</v>
      </c>
      <c r="D13" s="2" t="s">
        <v>37</v>
      </c>
      <c r="E13" s="2" t="s">
        <v>12</v>
      </c>
      <c r="F13" s="2" t="s">
        <v>21</v>
      </c>
      <c r="G13" s="3" t="str">
        <f t="shared" si="1"/>
        <v>P2 - This week</v>
      </c>
      <c r="H13" s="4" t="s">
        <v>43</v>
      </c>
    </row>
    <row r="14">
      <c r="A14" s="2" t="s">
        <v>41</v>
      </c>
      <c r="B14" s="2" t="s">
        <v>39</v>
      </c>
      <c r="C14" s="2" t="s">
        <v>36</v>
      </c>
      <c r="D14" s="2" t="s">
        <v>37</v>
      </c>
      <c r="E14" s="2" t="s">
        <v>12</v>
      </c>
      <c r="F14" s="2" t="s">
        <v>21</v>
      </c>
      <c r="G14" s="3" t="str">
        <f t="shared" si="1"/>
        <v>P2 - This week</v>
      </c>
      <c r="H14" s="4" t="s">
        <v>43</v>
      </c>
    </row>
    <row r="15">
      <c r="A15" s="2" t="s">
        <v>41</v>
      </c>
      <c r="B15" s="2" t="s">
        <v>40</v>
      </c>
      <c r="C15" s="2" t="s">
        <v>36</v>
      </c>
      <c r="D15" s="2" t="s">
        <v>37</v>
      </c>
      <c r="E15" s="2" t="s">
        <v>12</v>
      </c>
      <c r="F15" s="2" t="s">
        <v>21</v>
      </c>
      <c r="G15" s="3" t="str">
        <f t="shared" si="1"/>
        <v>P2 - This week</v>
      </c>
      <c r="H15" s="4" t="s">
        <v>43</v>
      </c>
    </row>
    <row r="16">
      <c r="A16" s="2" t="s">
        <v>44</v>
      </c>
      <c r="B16" s="2" t="s">
        <v>45</v>
      </c>
      <c r="C16" s="2" t="s">
        <v>36</v>
      </c>
      <c r="D16" s="2" t="s">
        <v>37</v>
      </c>
      <c r="E16" s="2" t="s">
        <v>12</v>
      </c>
      <c r="F16" s="2" t="s">
        <v>21</v>
      </c>
      <c r="G16" s="3" t="str">
        <f t="shared" si="1"/>
        <v>P2 - This week</v>
      </c>
      <c r="H16" s="4" t="s">
        <v>47</v>
      </c>
    </row>
    <row r="17">
      <c r="A17" s="2" t="s">
        <v>48</v>
      </c>
      <c r="B17" s="2" t="s">
        <v>45</v>
      </c>
      <c r="C17" s="2" t="s">
        <v>36</v>
      </c>
      <c r="D17" s="2" t="s">
        <v>37</v>
      </c>
      <c r="E17" s="2" t="s">
        <v>12</v>
      </c>
      <c r="F17" s="2" t="s">
        <v>21</v>
      </c>
      <c r="G17" s="3" t="str">
        <f t="shared" si="1"/>
        <v>P2 - This week</v>
      </c>
      <c r="H17" s="4" t="s">
        <v>49</v>
      </c>
    </row>
    <row r="18">
      <c r="A18" s="2" t="s">
        <v>51</v>
      </c>
      <c r="B18" s="2" t="s">
        <v>45</v>
      </c>
      <c r="C18" s="2" t="s">
        <v>36</v>
      </c>
      <c r="D18" s="2" t="s">
        <v>37</v>
      </c>
      <c r="E18" s="2" t="s">
        <v>12</v>
      </c>
      <c r="F18" s="2" t="s">
        <v>21</v>
      </c>
      <c r="G18" s="3" t="str">
        <f t="shared" si="1"/>
        <v>P2 - This week</v>
      </c>
      <c r="H18" s="4" t="s">
        <v>52</v>
      </c>
    </row>
    <row r="19">
      <c r="A19" s="2" t="s">
        <v>53</v>
      </c>
      <c r="B19" s="2" t="s">
        <v>45</v>
      </c>
      <c r="C19" s="2" t="s">
        <v>36</v>
      </c>
      <c r="D19" s="2" t="s">
        <v>37</v>
      </c>
      <c r="E19" s="2" t="s">
        <v>12</v>
      </c>
      <c r="F19" s="2" t="s">
        <v>21</v>
      </c>
      <c r="G19" s="3" t="str">
        <f t="shared" si="1"/>
        <v>P2 - This week</v>
      </c>
      <c r="H19" s="4" t="s">
        <v>55</v>
      </c>
    </row>
    <row r="20">
      <c r="A20" s="2" t="s">
        <v>56</v>
      </c>
      <c r="B20" s="2" t="s">
        <v>9</v>
      </c>
      <c r="C20" s="2" t="s">
        <v>10</v>
      </c>
      <c r="D20" s="2" t="s">
        <v>11</v>
      </c>
      <c r="E20" s="2" t="s">
        <v>57</v>
      </c>
      <c r="F20" s="2" t="s">
        <v>21</v>
      </c>
      <c r="G20" s="3" t="str">
        <f t="shared" si="1"/>
        <v>P2 - This week</v>
      </c>
      <c r="H20" s="4" t="s">
        <v>59</v>
      </c>
    </row>
    <row r="21" ht="15.75" customHeight="1">
      <c r="A21" s="2" t="s">
        <v>60</v>
      </c>
      <c r="B21" s="2" t="s">
        <v>9</v>
      </c>
      <c r="C21" s="2" t="s">
        <v>10</v>
      </c>
      <c r="D21" s="2" t="s">
        <v>11</v>
      </c>
      <c r="E21" s="2" t="s">
        <v>57</v>
      </c>
      <c r="F21" s="2" t="s">
        <v>21</v>
      </c>
      <c r="G21" s="3" t="str">
        <f t="shared" si="1"/>
        <v>P2 - This week</v>
      </c>
      <c r="H21" s="4" t="s">
        <v>61</v>
      </c>
    </row>
    <row r="22" ht="15.75" customHeight="1">
      <c r="A22" s="2" t="s">
        <v>63</v>
      </c>
      <c r="B22" s="2" t="s">
        <v>9</v>
      </c>
      <c r="C22" s="2" t="s">
        <v>10</v>
      </c>
      <c r="D22" s="2" t="s">
        <v>11</v>
      </c>
      <c r="E22" s="2" t="s">
        <v>57</v>
      </c>
      <c r="F22" s="2" t="s">
        <v>21</v>
      </c>
      <c r="G22" s="3" t="str">
        <f t="shared" si="1"/>
        <v>P2 - This week</v>
      </c>
      <c r="H22" s="4" t="s">
        <v>64</v>
      </c>
    </row>
    <row r="23" ht="15.75" customHeight="1">
      <c r="A23" s="2" t="s">
        <v>65</v>
      </c>
      <c r="B23" s="2" t="s">
        <v>9</v>
      </c>
      <c r="C23" s="2" t="s">
        <v>10</v>
      </c>
      <c r="D23" s="2" t="s">
        <v>11</v>
      </c>
      <c r="E23" s="2" t="s">
        <v>57</v>
      </c>
      <c r="F23" s="2" t="s">
        <v>21</v>
      </c>
      <c r="G23" s="3" t="str">
        <f t="shared" si="1"/>
        <v>P2 - This week</v>
      </c>
      <c r="H23" s="4" t="s">
        <v>67</v>
      </c>
    </row>
    <row r="24" ht="15.75" customHeight="1">
      <c r="A24" s="2" t="s">
        <v>69</v>
      </c>
      <c r="B24" s="2" t="s">
        <v>9</v>
      </c>
      <c r="C24" s="2" t="s">
        <v>10</v>
      </c>
      <c r="D24" s="2" t="s">
        <v>11</v>
      </c>
      <c r="E24" s="2" t="s">
        <v>57</v>
      </c>
      <c r="F24" s="2" t="s">
        <v>21</v>
      </c>
      <c r="G24" s="3" t="str">
        <f t="shared" si="1"/>
        <v>P2 - This week</v>
      </c>
      <c r="H24" s="4" t="s">
        <v>72</v>
      </c>
    </row>
    <row r="25" ht="15.75" customHeight="1">
      <c r="A25" s="2" t="s">
        <v>73</v>
      </c>
      <c r="B25" s="2" t="s">
        <v>9</v>
      </c>
      <c r="C25" s="2" t="s">
        <v>10</v>
      </c>
      <c r="D25" s="2" t="s">
        <v>11</v>
      </c>
      <c r="E25" s="2" t="s">
        <v>57</v>
      </c>
      <c r="F25" s="2" t="s">
        <v>21</v>
      </c>
      <c r="G25" s="3" t="str">
        <f t="shared" si="1"/>
        <v>P2 - This week</v>
      </c>
      <c r="H25" s="4" t="s">
        <v>74</v>
      </c>
    </row>
    <row r="26" ht="15.75" customHeight="1">
      <c r="A26" s="2" t="s">
        <v>75</v>
      </c>
      <c r="B26" s="2" t="s">
        <v>9</v>
      </c>
      <c r="C26" s="2" t="s">
        <v>10</v>
      </c>
      <c r="D26" s="2" t="s">
        <v>11</v>
      </c>
      <c r="E26" s="2" t="s">
        <v>57</v>
      </c>
      <c r="F26" s="2" t="s">
        <v>21</v>
      </c>
      <c r="G26" s="3" t="str">
        <f t="shared" si="1"/>
        <v>P2 - This week</v>
      </c>
      <c r="H26" s="4" t="s">
        <v>76</v>
      </c>
    </row>
    <row r="27" ht="15.75" customHeight="1">
      <c r="A27" s="2" t="s">
        <v>77</v>
      </c>
      <c r="B27" s="2" t="s">
        <v>9</v>
      </c>
      <c r="C27" s="2" t="s">
        <v>10</v>
      </c>
      <c r="D27" s="2" t="s">
        <v>11</v>
      </c>
      <c r="E27" s="2" t="s">
        <v>57</v>
      </c>
      <c r="F27" s="2" t="s">
        <v>21</v>
      </c>
      <c r="G27" s="3" t="str">
        <f t="shared" si="1"/>
        <v>P2 - This week</v>
      </c>
      <c r="H27" s="4" t="s">
        <v>76</v>
      </c>
    </row>
    <row r="28" ht="15.75" customHeight="1">
      <c r="A28" s="2" t="s">
        <v>78</v>
      </c>
      <c r="B28" s="2" t="s">
        <v>9</v>
      </c>
      <c r="C28" s="2" t="s">
        <v>10</v>
      </c>
      <c r="D28" s="2" t="s">
        <v>11</v>
      </c>
      <c r="E28" s="2" t="s">
        <v>57</v>
      </c>
      <c r="F28" s="2" t="s">
        <v>21</v>
      </c>
      <c r="G28" s="3" t="str">
        <f t="shared" si="1"/>
        <v>P2 - This week</v>
      </c>
      <c r="H28" s="4" t="s">
        <v>79</v>
      </c>
    </row>
    <row r="29" ht="15.75" customHeight="1">
      <c r="A29" s="2" t="s">
        <v>80</v>
      </c>
      <c r="B29" s="2" t="s">
        <v>9</v>
      </c>
      <c r="C29" s="2" t="s">
        <v>10</v>
      </c>
      <c r="D29" s="2" t="s">
        <v>11</v>
      </c>
      <c r="E29" s="2" t="s">
        <v>57</v>
      </c>
      <c r="F29" s="2" t="s">
        <v>21</v>
      </c>
      <c r="G29" s="3" t="str">
        <f t="shared" si="1"/>
        <v>P2 - This week</v>
      </c>
      <c r="H29" s="4" t="s">
        <v>81</v>
      </c>
    </row>
    <row r="30" ht="15.75" customHeight="1">
      <c r="A30" s="2" t="s">
        <v>82</v>
      </c>
      <c r="B30" s="2" t="s">
        <v>9</v>
      </c>
      <c r="C30" s="2" t="s">
        <v>10</v>
      </c>
      <c r="D30" s="2" t="s">
        <v>11</v>
      </c>
      <c r="E30" s="2" t="s">
        <v>57</v>
      </c>
      <c r="F30" s="2" t="s">
        <v>21</v>
      </c>
      <c r="G30" s="3" t="str">
        <f t="shared" si="1"/>
        <v>P2 - This week</v>
      </c>
      <c r="H30" s="4" t="s">
        <v>83</v>
      </c>
    </row>
    <row r="31" ht="15.75" customHeight="1">
      <c r="A31" s="2" t="s">
        <v>84</v>
      </c>
      <c r="B31" s="2" t="s">
        <v>9</v>
      </c>
      <c r="C31" s="2" t="s">
        <v>10</v>
      </c>
      <c r="D31" s="2" t="s">
        <v>11</v>
      </c>
      <c r="E31" s="2" t="s">
        <v>57</v>
      </c>
      <c r="F31" s="2" t="s">
        <v>21</v>
      </c>
      <c r="G31" s="3" t="str">
        <f t="shared" si="1"/>
        <v>P2 - This week</v>
      </c>
      <c r="H31" s="4" t="s">
        <v>85</v>
      </c>
    </row>
    <row r="32" ht="15.75" customHeight="1">
      <c r="A32" s="2" t="s">
        <v>86</v>
      </c>
      <c r="B32" s="2" t="s">
        <v>9</v>
      </c>
      <c r="C32" s="2" t="s">
        <v>10</v>
      </c>
      <c r="D32" s="2" t="s">
        <v>11</v>
      </c>
      <c r="E32" s="2" t="s">
        <v>57</v>
      </c>
      <c r="F32" s="2" t="s">
        <v>21</v>
      </c>
      <c r="G32" s="3" t="str">
        <f t="shared" si="1"/>
        <v>P2 - This week</v>
      </c>
      <c r="H32" s="4" t="s">
        <v>87</v>
      </c>
    </row>
    <row r="33" ht="15.75" customHeight="1">
      <c r="A33" s="2" t="s">
        <v>88</v>
      </c>
      <c r="B33" s="2" t="s">
        <v>9</v>
      </c>
      <c r="C33" s="2" t="s">
        <v>10</v>
      </c>
      <c r="D33" s="2" t="s">
        <v>11</v>
      </c>
      <c r="E33" s="2" t="s">
        <v>57</v>
      </c>
      <c r="F33" s="2" t="s">
        <v>21</v>
      </c>
      <c r="G33" s="3" t="str">
        <f t="shared" si="1"/>
        <v>P2 - This week</v>
      </c>
      <c r="H33" s="4" t="s">
        <v>89</v>
      </c>
    </row>
    <row r="34" ht="15.75" customHeight="1">
      <c r="A34" s="2" t="s">
        <v>90</v>
      </c>
      <c r="B34" s="2" t="s">
        <v>9</v>
      </c>
      <c r="C34" s="2" t="s">
        <v>10</v>
      </c>
      <c r="D34" s="2" t="s">
        <v>11</v>
      </c>
      <c r="E34" s="2" t="s">
        <v>57</v>
      </c>
      <c r="F34" s="2" t="s">
        <v>21</v>
      </c>
      <c r="G34" s="3" t="str">
        <f t="shared" si="1"/>
        <v>P2 - This week</v>
      </c>
      <c r="H34" s="4" t="s">
        <v>91</v>
      </c>
    </row>
    <row r="35" ht="15.75" customHeight="1">
      <c r="A35" s="2" t="s">
        <v>92</v>
      </c>
      <c r="B35" s="2" t="s">
        <v>9</v>
      </c>
      <c r="C35" s="2" t="s">
        <v>10</v>
      </c>
      <c r="D35" s="2" t="s">
        <v>11</v>
      </c>
      <c r="E35" s="2" t="s">
        <v>57</v>
      </c>
      <c r="F35" s="2" t="s">
        <v>21</v>
      </c>
      <c r="G35" s="3" t="str">
        <f t="shared" si="1"/>
        <v>P2 - This week</v>
      </c>
      <c r="H35" s="4" t="s">
        <v>93</v>
      </c>
    </row>
    <row r="36" ht="15.75" customHeight="1">
      <c r="A36" s="2" t="s">
        <v>94</v>
      </c>
      <c r="B36" s="2" t="s">
        <v>9</v>
      </c>
      <c r="C36" s="2" t="s">
        <v>10</v>
      </c>
      <c r="D36" s="2" t="s">
        <v>11</v>
      </c>
      <c r="E36" s="2" t="s">
        <v>57</v>
      </c>
      <c r="F36" s="2" t="s">
        <v>21</v>
      </c>
      <c r="G36" s="3" t="str">
        <f t="shared" si="1"/>
        <v>P2 - This week</v>
      </c>
      <c r="H36" s="4" t="s">
        <v>89</v>
      </c>
    </row>
    <row r="37" ht="15.75" customHeight="1">
      <c r="A37" s="2" t="s">
        <v>95</v>
      </c>
      <c r="B37" s="2" t="s">
        <v>9</v>
      </c>
      <c r="C37" s="2" t="s">
        <v>10</v>
      </c>
      <c r="D37" s="2" t="s">
        <v>11</v>
      </c>
      <c r="E37" s="2" t="s">
        <v>57</v>
      </c>
      <c r="F37" s="2" t="s">
        <v>21</v>
      </c>
      <c r="G37" s="3" t="str">
        <f t="shared" si="1"/>
        <v>P2 - This week</v>
      </c>
      <c r="H37" s="4" t="s">
        <v>91</v>
      </c>
    </row>
    <row r="38" ht="15.75" customHeight="1">
      <c r="A38" s="2" t="s">
        <v>96</v>
      </c>
      <c r="B38" s="2" t="s">
        <v>9</v>
      </c>
      <c r="C38" s="2" t="s">
        <v>10</v>
      </c>
      <c r="D38" s="2" t="s">
        <v>11</v>
      </c>
      <c r="E38" s="2" t="s">
        <v>57</v>
      </c>
      <c r="F38" s="2" t="s">
        <v>21</v>
      </c>
      <c r="G38" s="3" t="str">
        <f t="shared" si="1"/>
        <v>P2 - This week</v>
      </c>
      <c r="H38" s="4" t="s">
        <v>97</v>
      </c>
    </row>
    <row r="39" ht="15.75" customHeight="1">
      <c r="A39" s="2" t="s">
        <v>98</v>
      </c>
      <c r="B39" s="2" t="s">
        <v>9</v>
      </c>
      <c r="C39" s="2" t="s">
        <v>10</v>
      </c>
      <c r="D39" s="2" t="s">
        <v>11</v>
      </c>
      <c r="E39" s="2" t="s">
        <v>57</v>
      </c>
      <c r="F39" s="2" t="s">
        <v>21</v>
      </c>
      <c r="G39" s="3" t="str">
        <f t="shared" si="1"/>
        <v>P2 - This week</v>
      </c>
      <c r="H39" s="4" t="s">
        <v>99</v>
      </c>
    </row>
    <row r="40" ht="15.75" customHeight="1">
      <c r="A40" s="2" t="s">
        <v>100</v>
      </c>
      <c r="B40" s="2" t="s">
        <v>9</v>
      </c>
      <c r="C40" s="2" t="s">
        <v>10</v>
      </c>
      <c r="D40" s="2" t="s">
        <v>11</v>
      </c>
      <c r="E40" s="2" t="s">
        <v>57</v>
      </c>
      <c r="F40" s="2" t="s">
        <v>21</v>
      </c>
      <c r="G40" s="3" t="str">
        <f t="shared" si="1"/>
        <v>P2 - This week</v>
      </c>
      <c r="H40" s="4" t="s">
        <v>101</v>
      </c>
    </row>
    <row r="41" ht="15.75" customHeight="1">
      <c r="A41" s="2" t="s">
        <v>102</v>
      </c>
      <c r="B41" s="2" t="s">
        <v>9</v>
      </c>
      <c r="C41" s="2" t="s">
        <v>10</v>
      </c>
      <c r="D41" s="2" t="s">
        <v>11</v>
      </c>
      <c r="E41" s="2" t="s">
        <v>57</v>
      </c>
      <c r="F41" s="2" t="s">
        <v>21</v>
      </c>
      <c r="G41" s="3" t="str">
        <f t="shared" si="1"/>
        <v>P2 - This week</v>
      </c>
      <c r="H41" s="4" t="s">
        <v>103</v>
      </c>
    </row>
    <row r="42" ht="15.75" customHeight="1">
      <c r="A42" s="2" t="s">
        <v>104</v>
      </c>
      <c r="B42" s="2" t="s">
        <v>9</v>
      </c>
      <c r="C42" s="2" t="s">
        <v>10</v>
      </c>
      <c r="D42" s="2" t="s">
        <v>11</v>
      </c>
      <c r="E42" s="2" t="s">
        <v>57</v>
      </c>
      <c r="F42" s="2" t="s">
        <v>21</v>
      </c>
      <c r="G42" s="3" t="str">
        <f t="shared" si="1"/>
        <v>P2 - This week</v>
      </c>
      <c r="H42" s="4" t="s">
        <v>83</v>
      </c>
    </row>
    <row r="43" ht="15.75" customHeight="1">
      <c r="A43" s="2" t="s">
        <v>105</v>
      </c>
      <c r="B43" s="2" t="s">
        <v>9</v>
      </c>
      <c r="C43" s="2" t="s">
        <v>10</v>
      </c>
      <c r="D43" s="2" t="s">
        <v>11</v>
      </c>
      <c r="E43" s="2" t="s">
        <v>57</v>
      </c>
      <c r="F43" s="2" t="s">
        <v>21</v>
      </c>
      <c r="G43" s="3" t="str">
        <f t="shared" si="1"/>
        <v>P2 - This week</v>
      </c>
      <c r="H43" s="4" t="s">
        <v>106</v>
      </c>
    </row>
    <row r="44" ht="15.75" customHeight="1">
      <c r="A44" s="2" t="s">
        <v>107</v>
      </c>
      <c r="B44" s="2" t="s">
        <v>9</v>
      </c>
      <c r="C44" s="2" t="s">
        <v>10</v>
      </c>
      <c r="D44" s="2" t="s">
        <v>11</v>
      </c>
      <c r="E44" s="2" t="s">
        <v>57</v>
      </c>
      <c r="F44" s="2" t="s">
        <v>21</v>
      </c>
      <c r="G44" s="3" t="str">
        <f t="shared" si="1"/>
        <v>P2 - This week</v>
      </c>
      <c r="H44" s="4" t="s">
        <v>108</v>
      </c>
    </row>
    <row r="45" ht="15.75" customHeight="1">
      <c r="A45" s="2" t="s">
        <v>109</v>
      </c>
      <c r="B45" s="2" t="s">
        <v>9</v>
      </c>
      <c r="C45" s="2" t="s">
        <v>10</v>
      </c>
      <c r="D45" s="2" t="s">
        <v>11</v>
      </c>
      <c r="E45" s="2" t="s">
        <v>57</v>
      </c>
      <c r="F45" s="2" t="s">
        <v>21</v>
      </c>
      <c r="G45" s="3" t="str">
        <f t="shared" si="1"/>
        <v>P2 - This week</v>
      </c>
      <c r="H45" s="4" t="s">
        <v>101</v>
      </c>
    </row>
    <row r="46" ht="15.75" customHeight="1">
      <c r="A46" s="2" t="s">
        <v>110</v>
      </c>
      <c r="B46" s="2" t="s">
        <v>9</v>
      </c>
      <c r="C46" s="2" t="s">
        <v>10</v>
      </c>
      <c r="D46" s="2" t="s">
        <v>11</v>
      </c>
      <c r="E46" s="2" t="s">
        <v>57</v>
      </c>
      <c r="F46" s="2" t="s">
        <v>21</v>
      </c>
      <c r="G46" s="3" t="str">
        <f t="shared" si="1"/>
        <v>P2 - This week</v>
      </c>
      <c r="H46" s="4" t="s">
        <v>111</v>
      </c>
    </row>
    <row r="47" ht="15.75" customHeight="1">
      <c r="A47" s="2" t="s">
        <v>112</v>
      </c>
      <c r="B47" s="2" t="s">
        <v>9</v>
      </c>
      <c r="C47" s="2" t="s">
        <v>10</v>
      </c>
      <c r="D47" s="2" t="s">
        <v>11</v>
      </c>
      <c r="E47" s="2" t="s">
        <v>57</v>
      </c>
      <c r="F47" s="2" t="s">
        <v>21</v>
      </c>
      <c r="G47" s="3" t="str">
        <f t="shared" si="1"/>
        <v>P2 - This week</v>
      </c>
      <c r="H47" s="4" t="s">
        <v>113</v>
      </c>
    </row>
    <row r="48" ht="15.75" customHeight="1">
      <c r="A48" s="2" t="s">
        <v>114</v>
      </c>
      <c r="B48" s="2" t="s">
        <v>9</v>
      </c>
      <c r="C48" s="2" t="s">
        <v>10</v>
      </c>
      <c r="D48" s="2" t="s">
        <v>11</v>
      </c>
      <c r="E48" s="2" t="s">
        <v>57</v>
      </c>
      <c r="F48" s="2" t="s">
        <v>21</v>
      </c>
      <c r="G48" s="3" t="str">
        <f t="shared" si="1"/>
        <v>P2 - This week</v>
      </c>
      <c r="H48" s="4" t="s">
        <v>115</v>
      </c>
    </row>
    <row r="49" ht="15.75" customHeight="1">
      <c r="A49" s="2" t="s">
        <v>116</v>
      </c>
      <c r="B49" s="2" t="s">
        <v>9</v>
      </c>
      <c r="C49" s="2" t="s">
        <v>10</v>
      </c>
      <c r="D49" s="2" t="s">
        <v>11</v>
      </c>
      <c r="E49" s="2" t="s">
        <v>57</v>
      </c>
      <c r="F49" s="2" t="s">
        <v>21</v>
      </c>
      <c r="G49" s="3" t="str">
        <f t="shared" si="1"/>
        <v>P2 - This week</v>
      </c>
      <c r="H49" s="4" t="s">
        <v>117</v>
      </c>
    </row>
    <row r="50" ht="15.75" customHeight="1">
      <c r="A50" s="2" t="s">
        <v>118</v>
      </c>
      <c r="B50" s="2" t="s">
        <v>9</v>
      </c>
      <c r="C50" s="2" t="s">
        <v>10</v>
      </c>
      <c r="D50" s="2" t="s">
        <v>11</v>
      </c>
      <c r="E50" s="2" t="s">
        <v>57</v>
      </c>
      <c r="F50" s="2" t="s">
        <v>21</v>
      </c>
      <c r="G50" s="3" t="str">
        <f t="shared" si="1"/>
        <v>P2 - This week</v>
      </c>
      <c r="H50" s="4" t="s">
        <v>119</v>
      </c>
    </row>
    <row r="51" ht="15.75" customHeight="1">
      <c r="A51" s="2" t="s">
        <v>120</v>
      </c>
      <c r="B51" s="2" t="s">
        <v>9</v>
      </c>
      <c r="C51" s="2" t="s">
        <v>10</v>
      </c>
      <c r="D51" s="2" t="s">
        <v>11</v>
      </c>
      <c r="E51" s="2" t="s">
        <v>57</v>
      </c>
      <c r="F51" s="2" t="s">
        <v>21</v>
      </c>
      <c r="G51" s="3" t="str">
        <f t="shared" si="1"/>
        <v>P2 - This week</v>
      </c>
      <c r="H51" s="4" t="s">
        <v>121</v>
      </c>
    </row>
    <row r="52" ht="15.75" customHeight="1">
      <c r="A52" s="2" t="s">
        <v>122</v>
      </c>
      <c r="B52" s="2" t="s">
        <v>9</v>
      </c>
      <c r="C52" s="2" t="s">
        <v>10</v>
      </c>
      <c r="D52" s="2" t="s">
        <v>11</v>
      </c>
      <c r="E52" s="2" t="s">
        <v>57</v>
      </c>
      <c r="F52" s="2" t="s">
        <v>21</v>
      </c>
      <c r="G52" s="3" t="str">
        <f t="shared" si="1"/>
        <v>P2 - This week</v>
      </c>
      <c r="H52" s="4" t="s">
        <v>123</v>
      </c>
    </row>
    <row r="53" ht="15.75" customHeight="1">
      <c r="A53" s="2" t="s">
        <v>124</v>
      </c>
      <c r="B53" s="2" t="s">
        <v>9</v>
      </c>
      <c r="C53" s="2" t="s">
        <v>10</v>
      </c>
      <c r="D53" s="2" t="s">
        <v>11</v>
      </c>
      <c r="E53" s="2" t="s">
        <v>57</v>
      </c>
      <c r="F53" s="2" t="s">
        <v>21</v>
      </c>
      <c r="G53" s="3" t="str">
        <f t="shared" si="1"/>
        <v>P2 - This week</v>
      </c>
      <c r="H53" s="4" t="s">
        <v>125</v>
      </c>
    </row>
    <row r="54" ht="15.75" customHeight="1">
      <c r="A54" s="2" t="s">
        <v>126</v>
      </c>
      <c r="B54" s="2" t="s">
        <v>9</v>
      </c>
      <c r="C54" s="2" t="s">
        <v>10</v>
      </c>
      <c r="D54" s="2" t="s">
        <v>11</v>
      </c>
      <c r="E54" s="2" t="s">
        <v>57</v>
      </c>
      <c r="F54" s="2" t="s">
        <v>21</v>
      </c>
      <c r="G54" s="3" t="str">
        <f t="shared" si="1"/>
        <v>P2 - This week</v>
      </c>
      <c r="H54" s="4" t="s">
        <v>125</v>
      </c>
    </row>
    <row r="55" ht="15.75" customHeight="1">
      <c r="A55" s="2" t="s">
        <v>127</v>
      </c>
      <c r="B55" s="2" t="s">
        <v>9</v>
      </c>
      <c r="C55" s="2" t="s">
        <v>10</v>
      </c>
      <c r="D55" s="2" t="s">
        <v>11</v>
      </c>
      <c r="E55" s="2" t="s">
        <v>57</v>
      </c>
      <c r="F55" s="2" t="s">
        <v>21</v>
      </c>
      <c r="G55" s="3" t="str">
        <f t="shared" si="1"/>
        <v>P2 - This week</v>
      </c>
      <c r="H55" s="4" t="s">
        <v>128</v>
      </c>
    </row>
    <row r="56" ht="15.75" customHeight="1">
      <c r="A56" s="2" t="s">
        <v>129</v>
      </c>
      <c r="B56" s="2" t="s">
        <v>9</v>
      </c>
      <c r="C56" s="2" t="s">
        <v>10</v>
      </c>
      <c r="D56" s="2" t="s">
        <v>11</v>
      </c>
      <c r="E56" s="2" t="s">
        <v>57</v>
      </c>
      <c r="F56" s="2" t="s">
        <v>21</v>
      </c>
      <c r="G56" s="3" t="str">
        <f t="shared" si="1"/>
        <v>P2 - This week</v>
      </c>
      <c r="H56" s="4" t="s">
        <v>130</v>
      </c>
    </row>
    <row r="57" ht="15.75" customHeight="1">
      <c r="A57" s="2" t="s">
        <v>131</v>
      </c>
      <c r="B57" s="2" t="s">
        <v>9</v>
      </c>
      <c r="C57" s="2" t="s">
        <v>10</v>
      </c>
      <c r="D57" s="2" t="s">
        <v>11</v>
      </c>
      <c r="E57" s="2" t="s">
        <v>57</v>
      </c>
      <c r="F57" s="2" t="s">
        <v>21</v>
      </c>
      <c r="G57" s="3" t="str">
        <f t="shared" si="1"/>
        <v>P2 - This week</v>
      </c>
      <c r="H57" s="4" t="s">
        <v>132</v>
      </c>
    </row>
    <row r="58" ht="15.75" customHeight="1">
      <c r="A58" s="2" t="s">
        <v>133</v>
      </c>
      <c r="B58" s="2" t="s">
        <v>9</v>
      </c>
      <c r="C58" s="2" t="s">
        <v>10</v>
      </c>
      <c r="D58" s="2" t="s">
        <v>11</v>
      </c>
      <c r="E58" s="2" t="s">
        <v>57</v>
      </c>
      <c r="F58" s="2" t="s">
        <v>21</v>
      </c>
      <c r="G58" s="3" t="str">
        <f t="shared" si="1"/>
        <v>P2 - This week</v>
      </c>
      <c r="H58" s="4" t="s">
        <v>132</v>
      </c>
    </row>
    <row r="59" ht="15.75" customHeight="1">
      <c r="A59" s="2" t="s">
        <v>134</v>
      </c>
      <c r="B59" s="2" t="s">
        <v>9</v>
      </c>
      <c r="C59" s="2" t="s">
        <v>10</v>
      </c>
      <c r="D59" s="2" t="s">
        <v>11</v>
      </c>
      <c r="E59" s="2" t="s">
        <v>57</v>
      </c>
      <c r="F59" s="2" t="s">
        <v>21</v>
      </c>
      <c r="G59" s="3" t="str">
        <f t="shared" si="1"/>
        <v>P2 - This week</v>
      </c>
      <c r="H59" s="4" t="s">
        <v>135</v>
      </c>
    </row>
    <row r="60" ht="15.75" customHeight="1">
      <c r="A60" s="2" t="s">
        <v>136</v>
      </c>
      <c r="B60" s="2" t="s">
        <v>9</v>
      </c>
      <c r="C60" s="2" t="s">
        <v>10</v>
      </c>
      <c r="D60" s="2" t="s">
        <v>11</v>
      </c>
      <c r="E60" s="2" t="s">
        <v>57</v>
      </c>
      <c r="F60" s="2" t="s">
        <v>21</v>
      </c>
      <c r="G60" s="3" t="str">
        <f t="shared" si="1"/>
        <v>P2 - This week</v>
      </c>
      <c r="H60" s="4" t="s">
        <v>101</v>
      </c>
    </row>
    <row r="61" ht="15.75" customHeight="1">
      <c r="A61" s="2" t="s">
        <v>137</v>
      </c>
      <c r="B61" s="2" t="s">
        <v>9</v>
      </c>
      <c r="C61" s="2" t="s">
        <v>10</v>
      </c>
      <c r="D61" s="2" t="s">
        <v>11</v>
      </c>
      <c r="E61" s="2" t="s">
        <v>57</v>
      </c>
      <c r="F61" s="2" t="s">
        <v>21</v>
      </c>
      <c r="G61" s="3" t="str">
        <f t="shared" si="1"/>
        <v>P2 - This week</v>
      </c>
      <c r="H61" s="4" t="s">
        <v>138</v>
      </c>
    </row>
    <row r="62" ht="15.75" customHeight="1">
      <c r="A62" s="2" t="s">
        <v>139</v>
      </c>
      <c r="B62" s="2" t="s">
        <v>9</v>
      </c>
      <c r="C62" s="2" t="s">
        <v>10</v>
      </c>
      <c r="D62" s="2" t="s">
        <v>11</v>
      </c>
      <c r="E62" s="2" t="s">
        <v>57</v>
      </c>
      <c r="F62" s="2" t="s">
        <v>21</v>
      </c>
      <c r="G62" s="3" t="str">
        <f t="shared" si="1"/>
        <v>P2 - This week</v>
      </c>
      <c r="H62" s="4" t="s">
        <v>140</v>
      </c>
    </row>
    <row r="63" ht="15.75" customHeight="1">
      <c r="A63" s="2" t="s">
        <v>141</v>
      </c>
      <c r="B63" s="2" t="s">
        <v>9</v>
      </c>
      <c r="C63" s="2" t="s">
        <v>10</v>
      </c>
      <c r="D63" s="2" t="s">
        <v>11</v>
      </c>
      <c r="E63" s="2" t="s">
        <v>57</v>
      </c>
      <c r="F63" s="2" t="s">
        <v>21</v>
      </c>
      <c r="G63" s="3" t="str">
        <f t="shared" si="1"/>
        <v>P2 - This week</v>
      </c>
      <c r="H63" s="4" t="s">
        <v>142</v>
      </c>
    </row>
    <row r="64" ht="15.75" customHeight="1">
      <c r="A64" s="2" t="s">
        <v>143</v>
      </c>
      <c r="B64" s="2" t="s">
        <v>9</v>
      </c>
      <c r="C64" s="2" t="s">
        <v>10</v>
      </c>
      <c r="D64" s="2" t="s">
        <v>11</v>
      </c>
      <c r="E64" s="2" t="s">
        <v>57</v>
      </c>
      <c r="F64" s="2" t="s">
        <v>21</v>
      </c>
      <c r="G64" s="3" t="str">
        <f t="shared" si="1"/>
        <v>P2 - This week</v>
      </c>
      <c r="H64" s="4" t="s">
        <v>144</v>
      </c>
    </row>
    <row r="65" ht="15.75" customHeight="1">
      <c r="A65" s="2" t="s">
        <v>145</v>
      </c>
      <c r="B65" s="2" t="s">
        <v>9</v>
      </c>
      <c r="C65" s="2" t="s">
        <v>10</v>
      </c>
      <c r="D65" s="2" t="s">
        <v>11</v>
      </c>
      <c r="E65" s="2" t="s">
        <v>57</v>
      </c>
      <c r="F65" s="2" t="s">
        <v>21</v>
      </c>
      <c r="G65" s="3" t="str">
        <f t="shared" si="1"/>
        <v>P2 - This week</v>
      </c>
      <c r="H65" s="4" t="s">
        <v>146</v>
      </c>
    </row>
    <row r="66" ht="15.75" customHeight="1">
      <c r="A66" s="2" t="s">
        <v>147</v>
      </c>
      <c r="B66" s="2" t="s">
        <v>9</v>
      </c>
      <c r="C66" s="2" t="s">
        <v>10</v>
      </c>
      <c r="D66" s="2" t="s">
        <v>11</v>
      </c>
      <c r="E66" s="2" t="s">
        <v>57</v>
      </c>
      <c r="F66" s="2" t="s">
        <v>21</v>
      </c>
      <c r="G66" s="3" t="str">
        <f t="shared" si="1"/>
        <v>P2 - This week</v>
      </c>
      <c r="H66" s="4" t="s">
        <v>148</v>
      </c>
    </row>
    <row r="67" ht="15.75" customHeight="1">
      <c r="A67" s="2" t="s">
        <v>149</v>
      </c>
      <c r="B67" s="2" t="s">
        <v>9</v>
      </c>
      <c r="C67" s="2" t="s">
        <v>10</v>
      </c>
      <c r="D67" s="2" t="s">
        <v>11</v>
      </c>
      <c r="E67" s="2" t="s">
        <v>57</v>
      </c>
      <c r="F67" s="2" t="s">
        <v>21</v>
      </c>
      <c r="G67" s="3" t="str">
        <f t="shared" si="1"/>
        <v>P2 - This week</v>
      </c>
      <c r="H67" s="4" t="s">
        <v>150</v>
      </c>
    </row>
    <row r="68" ht="15.75" customHeight="1">
      <c r="A68" s="2" t="s">
        <v>151</v>
      </c>
      <c r="B68" s="2" t="s">
        <v>9</v>
      </c>
      <c r="C68" s="2" t="s">
        <v>10</v>
      </c>
      <c r="D68" s="2" t="s">
        <v>11</v>
      </c>
      <c r="E68" s="2" t="s">
        <v>57</v>
      </c>
      <c r="F68" s="2" t="s">
        <v>21</v>
      </c>
      <c r="G68" s="3" t="str">
        <f t="shared" si="1"/>
        <v>P2 - This week</v>
      </c>
      <c r="H68" s="4" t="s">
        <v>152</v>
      </c>
    </row>
    <row r="69" ht="15.75" customHeight="1">
      <c r="A69" s="2" t="s">
        <v>153</v>
      </c>
      <c r="B69" s="2" t="s">
        <v>9</v>
      </c>
      <c r="C69" s="2" t="s">
        <v>10</v>
      </c>
      <c r="D69" s="2" t="s">
        <v>11</v>
      </c>
      <c r="E69" s="2" t="s">
        <v>57</v>
      </c>
      <c r="F69" s="2" t="s">
        <v>21</v>
      </c>
      <c r="G69" s="3" t="str">
        <f t="shared" si="1"/>
        <v>P2 - This week</v>
      </c>
      <c r="H69" s="4" t="s">
        <v>101</v>
      </c>
    </row>
    <row r="70" ht="15.75" customHeight="1">
      <c r="A70" s="2" t="s">
        <v>154</v>
      </c>
      <c r="B70" s="2" t="s">
        <v>9</v>
      </c>
      <c r="C70" s="2" t="s">
        <v>10</v>
      </c>
      <c r="D70" s="2" t="s">
        <v>11</v>
      </c>
      <c r="E70" s="2" t="s">
        <v>57</v>
      </c>
      <c r="F70" s="2" t="s">
        <v>21</v>
      </c>
      <c r="G70" s="3" t="str">
        <f t="shared" si="1"/>
        <v>P2 - This week</v>
      </c>
      <c r="H70" s="4" t="s">
        <v>148</v>
      </c>
    </row>
    <row r="71" ht="15.75" customHeight="1">
      <c r="A71" s="2" t="s">
        <v>155</v>
      </c>
      <c r="B71" s="2" t="s">
        <v>9</v>
      </c>
      <c r="C71" s="2" t="s">
        <v>10</v>
      </c>
      <c r="D71" s="2" t="s">
        <v>11</v>
      </c>
      <c r="E71" s="2" t="s">
        <v>57</v>
      </c>
      <c r="F71" s="2" t="s">
        <v>21</v>
      </c>
      <c r="G71" s="3" t="str">
        <f t="shared" si="1"/>
        <v>P2 - This week</v>
      </c>
      <c r="H71" s="4" t="s">
        <v>125</v>
      </c>
    </row>
    <row r="72" ht="15.75" customHeight="1">
      <c r="A72" s="2" t="s">
        <v>156</v>
      </c>
      <c r="B72" s="2" t="s">
        <v>9</v>
      </c>
      <c r="C72" s="2" t="s">
        <v>10</v>
      </c>
      <c r="D72" s="2" t="s">
        <v>11</v>
      </c>
      <c r="E72" s="2" t="s">
        <v>57</v>
      </c>
      <c r="F72" s="2" t="s">
        <v>21</v>
      </c>
      <c r="G72" s="3" t="str">
        <f t="shared" si="1"/>
        <v>P2 - This week</v>
      </c>
      <c r="H72" s="4" t="s">
        <v>157</v>
      </c>
    </row>
    <row r="73" ht="15.75" customHeight="1">
      <c r="A73" s="2" t="s">
        <v>158</v>
      </c>
      <c r="B73" s="2" t="s">
        <v>9</v>
      </c>
      <c r="C73" s="2" t="s">
        <v>10</v>
      </c>
      <c r="D73" s="2" t="s">
        <v>11</v>
      </c>
      <c r="E73" s="2" t="s">
        <v>57</v>
      </c>
      <c r="F73" s="2" t="s">
        <v>21</v>
      </c>
      <c r="G73" s="3" t="str">
        <f t="shared" si="1"/>
        <v>P2 - This week</v>
      </c>
      <c r="H73" s="4" t="s">
        <v>132</v>
      </c>
    </row>
    <row r="74" ht="15.75" customHeight="1">
      <c r="A74" s="2" t="s">
        <v>159</v>
      </c>
      <c r="B74" s="2" t="s">
        <v>9</v>
      </c>
      <c r="C74" s="2" t="s">
        <v>10</v>
      </c>
      <c r="D74" s="2" t="s">
        <v>11</v>
      </c>
      <c r="E74" s="2" t="s">
        <v>57</v>
      </c>
      <c r="F74" s="2" t="s">
        <v>21</v>
      </c>
      <c r="G74" s="3" t="str">
        <f t="shared" si="1"/>
        <v>P2 - This week</v>
      </c>
      <c r="H74" s="4" t="s">
        <v>160</v>
      </c>
    </row>
    <row r="75" ht="15.75" customHeight="1">
      <c r="A75" s="2" t="s">
        <v>161</v>
      </c>
      <c r="B75" s="2" t="s">
        <v>9</v>
      </c>
      <c r="C75" s="2" t="s">
        <v>10</v>
      </c>
      <c r="D75" s="2" t="s">
        <v>11</v>
      </c>
      <c r="E75" s="2" t="s">
        <v>57</v>
      </c>
      <c r="F75" s="2" t="s">
        <v>21</v>
      </c>
      <c r="G75" s="3" t="str">
        <f t="shared" si="1"/>
        <v>P2 - This week</v>
      </c>
      <c r="H75" s="4" t="s">
        <v>146</v>
      </c>
    </row>
    <row r="76" ht="15.75" customHeight="1">
      <c r="A76" s="2" t="s">
        <v>162</v>
      </c>
      <c r="B76" s="2" t="s">
        <v>9</v>
      </c>
      <c r="C76" s="2" t="s">
        <v>10</v>
      </c>
      <c r="D76" s="2" t="s">
        <v>11</v>
      </c>
      <c r="E76" s="2" t="s">
        <v>57</v>
      </c>
      <c r="F76" s="2" t="s">
        <v>21</v>
      </c>
      <c r="G76" s="3" t="str">
        <f t="shared" si="1"/>
        <v>P2 - This week</v>
      </c>
      <c r="H76" s="4" t="s">
        <v>146</v>
      </c>
    </row>
    <row r="77" ht="15.75" customHeight="1">
      <c r="A77" s="2" t="s">
        <v>163</v>
      </c>
      <c r="B77" s="2" t="s">
        <v>9</v>
      </c>
      <c r="C77" s="2" t="s">
        <v>10</v>
      </c>
      <c r="D77" s="2" t="s">
        <v>11</v>
      </c>
      <c r="E77" s="2" t="s">
        <v>57</v>
      </c>
      <c r="F77" s="2" t="s">
        <v>21</v>
      </c>
      <c r="G77" s="3" t="str">
        <f t="shared" si="1"/>
        <v>P2 - This week</v>
      </c>
      <c r="H77" s="4" t="s">
        <v>164</v>
      </c>
    </row>
    <row r="78" ht="15.75" customHeight="1">
      <c r="A78" s="2" t="s">
        <v>165</v>
      </c>
      <c r="B78" s="2" t="s">
        <v>9</v>
      </c>
      <c r="C78" s="2" t="s">
        <v>10</v>
      </c>
      <c r="D78" s="2" t="s">
        <v>11</v>
      </c>
      <c r="E78" s="2" t="s">
        <v>57</v>
      </c>
      <c r="F78" s="2" t="s">
        <v>21</v>
      </c>
      <c r="G78" s="3" t="str">
        <f t="shared" si="1"/>
        <v>P2 - This week</v>
      </c>
      <c r="H78" s="4" t="s">
        <v>166</v>
      </c>
    </row>
    <row r="79" ht="15.75" customHeight="1">
      <c r="A79" s="2" t="s">
        <v>167</v>
      </c>
      <c r="B79" s="2" t="s">
        <v>9</v>
      </c>
      <c r="C79" s="2" t="s">
        <v>10</v>
      </c>
      <c r="D79" s="2" t="s">
        <v>11</v>
      </c>
      <c r="E79" s="2" t="s">
        <v>57</v>
      </c>
      <c r="F79" s="2" t="s">
        <v>21</v>
      </c>
      <c r="G79" s="3" t="str">
        <f t="shared" si="1"/>
        <v>P2 - This week</v>
      </c>
      <c r="H79" s="4" t="s">
        <v>168</v>
      </c>
    </row>
    <row r="80" ht="15.75" customHeight="1">
      <c r="A80" s="2" t="s">
        <v>169</v>
      </c>
      <c r="B80" s="2" t="s">
        <v>9</v>
      </c>
      <c r="C80" s="2" t="s">
        <v>10</v>
      </c>
      <c r="D80" s="2" t="s">
        <v>11</v>
      </c>
      <c r="E80" s="2" t="s">
        <v>57</v>
      </c>
      <c r="F80" s="2" t="s">
        <v>21</v>
      </c>
      <c r="G80" s="3" t="str">
        <f t="shared" si="1"/>
        <v>P2 - This week</v>
      </c>
      <c r="H80" s="4" t="s">
        <v>170</v>
      </c>
    </row>
    <row r="81" ht="15.75" customHeight="1">
      <c r="A81" s="2" t="s">
        <v>171</v>
      </c>
      <c r="B81" s="2" t="s">
        <v>9</v>
      </c>
      <c r="C81" s="2" t="s">
        <v>10</v>
      </c>
      <c r="D81" s="2" t="s">
        <v>11</v>
      </c>
      <c r="E81" s="2" t="s">
        <v>57</v>
      </c>
      <c r="F81" s="2" t="s">
        <v>21</v>
      </c>
      <c r="G81" s="3" t="str">
        <f t="shared" si="1"/>
        <v>P2 - This week</v>
      </c>
      <c r="H81" s="4" t="s">
        <v>172</v>
      </c>
    </row>
    <row r="82" ht="15.75" customHeight="1">
      <c r="A82" s="2" t="s">
        <v>173</v>
      </c>
      <c r="B82" s="2" t="s">
        <v>9</v>
      </c>
      <c r="C82" s="2" t="s">
        <v>10</v>
      </c>
      <c r="D82" s="2" t="s">
        <v>11</v>
      </c>
      <c r="E82" s="2" t="s">
        <v>57</v>
      </c>
      <c r="F82" s="2" t="s">
        <v>21</v>
      </c>
      <c r="G82" s="3" t="str">
        <f t="shared" si="1"/>
        <v>P2 - This week</v>
      </c>
      <c r="H82" s="4" t="s">
        <v>164</v>
      </c>
    </row>
    <row r="83" ht="15.75" customHeight="1">
      <c r="A83" s="2" t="s">
        <v>174</v>
      </c>
      <c r="B83" s="2" t="s">
        <v>9</v>
      </c>
      <c r="C83" s="2" t="s">
        <v>10</v>
      </c>
      <c r="D83" s="2" t="s">
        <v>11</v>
      </c>
      <c r="E83" s="2" t="s">
        <v>57</v>
      </c>
      <c r="F83" s="2" t="s">
        <v>21</v>
      </c>
      <c r="G83" s="3" t="str">
        <f t="shared" si="1"/>
        <v>P2 - This week</v>
      </c>
      <c r="H83" s="4" t="s">
        <v>175</v>
      </c>
    </row>
    <row r="84" ht="15.75" customHeight="1">
      <c r="A84" s="2" t="s">
        <v>176</v>
      </c>
      <c r="B84" s="2" t="s">
        <v>9</v>
      </c>
      <c r="C84" s="2" t="s">
        <v>10</v>
      </c>
      <c r="D84" s="2" t="s">
        <v>11</v>
      </c>
      <c r="E84" s="2" t="s">
        <v>57</v>
      </c>
      <c r="F84" s="2" t="s">
        <v>21</v>
      </c>
      <c r="G84" s="3" t="str">
        <f t="shared" si="1"/>
        <v>P2 - This week</v>
      </c>
      <c r="H84" s="4" t="s">
        <v>164</v>
      </c>
    </row>
    <row r="85" ht="15.75" customHeight="1">
      <c r="A85" s="2" t="s">
        <v>177</v>
      </c>
      <c r="B85" s="2" t="s">
        <v>9</v>
      </c>
      <c r="C85" s="2" t="s">
        <v>10</v>
      </c>
      <c r="D85" s="2" t="s">
        <v>11</v>
      </c>
      <c r="E85" s="2" t="s">
        <v>57</v>
      </c>
      <c r="F85" s="2" t="s">
        <v>21</v>
      </c>
      <c r="G85" s="3" t="str">
        <f t="shared" si="1"/>
        <v>P2 - This week</v>
      </c>
      <c r="H85" s="4" t="s">
        <v>138</v>
      </c>
    </row>
    <row r="86" ht="15.75" customHeight="1">
      <c r="A86" s="2" t="s">
        <v>178</v>
      </c>
      <c r="B86" s="2" t="s">
        <v>9</v>
      </c>
      <c r="C86" s="2" t="s">
        <v>10</v>
      </c>
      <c r="D86" s="2" t="s">
        <v>11</v>
      </c>
      <c r="E86" s="2" t="s">
        <v>57</v>
      </c>
      <c r="F86" s="2" t="s">
        <v>21</v>
      </c>
      <c r="G86" s="3" t="str">
        <f t="shared" si="1"/>
        <v>P2 - This week</v>
      </c>
      <c r="H86" s="4" t="s">
        <v>179</v>
      </c>
    </row>
    <row r="87" ht="15.75" customHeight="1">
      <c r="A87" s="2" t="s">
        <v>180</v>
      </c>
      <c r="B87" s="2" t="s">
        <v>9</v>
      </c>
      <c r="C87" s="2" t="s">
        <v>10</v>
      </c>
      <c r="D87" s="2" t="s">
        <v>11</v>
      </c>
      <c r="E87" s="2" t="s">
        <v>57</v>
      </c>
      <c r="F87" s="2" t="s">
        <v>21</v>
      </c>
      <c r="G87" s="3" t="str">
        <f t="shared" si="1"/>
        <v>P2 - This week</v>
      </c>
      <c r="H87" s="4" t="s">
        <v>138</v>
      </c>
    </row>
    <row r="88" ht="15.75" customHeight="1">
      <c r="A88" s="2" t="s">
        <v>181</v>
      </c>
      <c r="B88" s="2" t="s">
        <v>9</v>
      </c>
      <c r="C88" s="2" t="s">
        <v>10</v>
      </c>
      <c r="D88" s="2" t="s">
        <v>11</v>
      </c>
      <c r="E88" s="2" t="s">
        <v>57</v>
      </c>
      <c r="F88" s="2" t="s">
        <v>21</v>
      </c>
      <c r="G88" s="3" t="str">
        <f t="shared" si="1"/>
        <v>P2 - This week</v>
      </c>
      <c r="H88" s="4" t="s">
        <v>138</v>
      </c>
    </row>
    <row r="89" ht="15.75" customHeight="1">
      <c r="A89" s="2" t="s">
        <v>182</v>
      </c>
      <c r="B89" s="2" t="s">
        <v>9</v>
      </c>
      <c r="C89" s="2" t="s">
        <v>10</v>
      </c>
      <c r="D89" s="2" t="s">
        <v>11</v>
      </c>
      <c r="E89" s="2" t="s">
        <v>57</v>
      </c>
      <c r="F89" s="2" t="s">
        <v>21</v>
      </c>
      <c r="G89" s="3" t="str">
        <f t="shared" si="1"/>
        <v>P2 - This week</v>
      </c>
      <c r="H89" s="4" t="s">
        <v>183</v>
      </c>
    </row>
    <row r="90" ht="15.75" customHeight="1">
      <c r="A90" s="2" t="s">
        <v>184</v>
      </c>
      <c r="B90" s="2" t="s">
        <v>9</v>
      </c>
      <c r="C90" s="2" t="s">
        <v>10</v>
      </c>
      <c r="D90" s="2" t="s">
        <v>11</v>
      </c>
      <c r="E90" s="2" t="s">
        <v>57</v>
      </c>
      <c r="F90" s="2" t="s">
        <v>21</v>
      </c>
      <c r="G90" s="3" t="str">
        <f t="shared" si="1"/>
        <v>P2 - This week</v>
      </c>
      <c r="H90" s="4" t="s">
        <v>185</v>
      </c>
    </row>
    <row r="91" ht="15.75" customHeight="1">
      <c r="A91" s="2" t="s">
        <v>186</v>
      </c>
      <c r="B91" s="2" t="s">
        <v>9</v>
      </c>
      <c r="C91" s="2" t="s">
        <v>10</v>
      </c>
      <c r="D91" s="2" t="s">
        <v>11</v>
      </c>
      <c r="E91" s="2" t="s">
        <v>57</v>
      </c>
      <c r="F91" s="2" t="s">
        <v>21</v>
      </c>
      <c r="G91" s="3" t="str">
        <f t="shared" si="1"/>
        <v>P2 - This week</v>
      </c>
      <c r="H91" s="4" t="s">
        <v>89</v>
      </c>
    </row>
    <row r="92" ht="15.75" customHeight="1">
      <c r="A92" s="2" t="s">
        <v>187</v>
      </c>
      <c r="B92" s="2" t="s">
        <v>9</v>
      </c>
      <c r="C92" s="2" t="s">
        <v>10</v>
      </c>
      <c r="D92" s="2" t="s">
        <v>11</v>
      </c>
      <c r="E92" s="2" t="s">
        <v>57</v>
      </c>
      <c r="F92" s="2" t="s">
        <v>21</v>
      </c>
      <c r="G92" s="3" t="str">
        <f t="shared" si="1"/>
        <v>P2 - This week</v>
      </c>
      <c r="H92" s="4" t="s">
        <v>89</v>
      </c>
    </row>
    <row r="93" ht="15.75" customHeight="1">
      <c r="A93" s="2" t="s">
        <v>188</v>
      </c>
      <c r="B93" s="2" t="s">
        <v>9</v>
      </c>
      <c r="C93" s="2" t="s">
        <v>10</v>
      </c>
      <c r="D93" s="2" t="s">
        <v>11</v>
      </c>
      <c r="E93" s="2" t="s">
        <v>57</v>
      </c>
      <c r="F93" s="2" t="s">
        <v>21</v>
      </c>
      <c r="G93" s="3" t="str">
        <f t="shared" si="1"/>
        <v>P2 - This week</v>
      </c>
      <c r="H93" s="4" t="s">
        <v>89</v>
      </c>
    </row>
    <row r="94" ht="15.75" customHeight="1">
      <c r="A94" s="2" t="s">
        <v>189</v>
      </c>
      <c r="B94" s="2" t="s">
        <v>9</v>
      </c>
      <c r="C94" s="2" t="s">
        <v>10</v>
      </c>
      <c r="D94" s="2" t="s">
        <v>11</v>
      </c>
      <c r="E94" s="2" t="s">
        <v>57</v>
      </c>
      <c r="F94" s="2" t="s">
        <v>21</v>
      </c>
      <c r="G94" s="3" t="str">
        <f t="shared" si="1"/>
        <v>P2 - This week</v>
      </c>
      <c r="H94" s="4" t="s">
        <v>190</v>
      </c>
    </row>
    <row r="95" ht="15.75" customHeight="1">
      <c r="A95" s="2" t="s">
        <v>191</v>
      </c>
      <c r="B95" s="2" t="s">
        <v>9</v>
      </c>
      <c r="C95" s="2" t="s">
        <v>10</v>
      </c>
      <c r="D95" s="2" t="s">
        <v>11</v>
      </c>
      <c r="E95" s="2" t="s">
        <v>57</v>
      </c>
      <c r="F95" s="2" t="s">
        <v>21</v>
      </c>
      <c r="G95" s="3" t="str">
        <f t="shared" si="1"/>
        <v>P2 - This week</v>
      </c>
      <c r="H95" s="4" t="s">
        <v>192</v>
      </c>
    </row>
    <row r="96" ht="15.75" customHeight="1">
      <c r="A96" s="2" t="s">
        <v>193</v>
      </c>
      <c r="B96" s="2" t="s">
        <v>9</v>
      </c>
      <c r="C96" s="2" t="s">
        <v>10</v>
      </c>
      <c r="D96" s="2" t="s">
        <v>11</v>
      </c>
      <c r="E96" s="2" t="s">
        <v>57</v>
      </c>
      <c r="F96" s="2" t="s">
        <v>21</v>
      </c>
      <c r="G96" s="3" t="str">
        <f t="shared" si="1"/>
        <v>P2 - This week</v>
      </c>
      <c r="H96" s="4" t="s">
        <v>121</v>
      </c>
    </row>
    <row r="97" ht="15.75" customHeight="1">
      <c r="A97" s="2" t="s">
        <v>194</v>
      </c>
      <c r="B97" s="2" t="s">
        <v>9</v>
      </c>
      <c r="C97" s="2" t="s">
        <v>10</v>
      </c>
      <c r="D97" s="2" t="s">
        <v>11</v>
      </c>
      <c r="E97" s="2" t="s">
        <v>57</v>
      </c>
      <c r="F97" s="2" t="s">
        <v>21</v>
      </c>
      <c r="G97" s="3" t="str">
        <f t="shared" si="1"/>
        <v>P2 - This week</v>
      </c>
      <c r="H97" s="4" t="s">
        <v>121</v>
      </c>
    </row>
    <row r="98" ht="15.75" customHeight="1">
      <c r="A98" s="2" t="s">
        <v>195</v>
      </c>
      <c r="B98" s="2" t="s">
        <v>9</v>
      </c>
      <c r="C98" s="2" t="s">
        <v>10</v>
      </c>
      <c r="D98" s="2" t="s">
        <v>11</v>
      </c>
      <c r="E98" s="2" t="s">
        <v>57</v>
      </c>
      <c r="F98" s="2" t="s">
        <v>21</v>
      </c>
      <c r="G98" s="3" t="str">
        <f t="shared" si="1"/>
        <v>P2 - This week</v>
      </c>
      <c r="H98" s="4" t="s">
        <v>196</v>
      </c>
    </row>
    <row r="99" ht="15.75" customHeight="1">
      <c r="A99" s="2" t="s">
        <v>197</v>
      </c>
      <c r="B99" s="2" t="s">
        <v>9</v>
      </c>
      <c r="C99" s="2" t="s">
        <v>10</v>
      </c>
      <c r="D99" s="2" t="s">
        <v>11</v>
      </c>
      <c r="E99" s="2" t="s">
        <v>57</v>
      </c>
      <c r="F99" s="2" t="s">
        <v>21</v>
      </c>
      <c r="G99" s="3" t="str">
        <f t="shared" si="1"/>
        <v>P2 - This week</v>
      </c>
      <c r="H99" s="4" t="s">
        <v>198</v>
      </c>
    </row>
    <row r="100" ht="15.75" customHeight="1">
      <c r="A100" s="2" t="s">
        <v>199</v>
      </c>
      <c r="B100" s="2" t="s">
        <v>9</v>
      </c>
      <c r="C100" s="2" t="s">
        <v>10</v>
      </c>
      <c r="D100" s="2" t="s">
        <v>11</v>
      </c>
      <c r="E100" s="2" t="s">
        <v>57</v>
      </c>
      <c r="F100" s="2" t="s">
        <v>21</v>
      </c>
      <c r="G100" s="3" t="str">
        <f t="shared" si="1"/>
        <v>P2 - This week</v>
      </c>
      <c r="H100" s="4" t="s">
        <v>200</v>
      </c>
    </row>
    <row r="101" ht="15.75" customHeight="1">
      <c r="A101" s="2" t="s">
        <v>201</v>
      </c>
      <c r="B101" s="2" t="s">
        <v>9</v>
      </c>
      <c r="C101" s="2" t="s">
        <v>10</v>
      </c>
      <c r="D101" s="2" t="s">
        <v>11</v>
      </c>
      <c r="E101" s="2" t="s">
        <v>57</v>
      </c>
      <c r="F101" s="2" t="s">
        <v>21</v>
      </c>
      <c r="G101" s="3" t="str">
        <f t="shared" si="1"/>
        <v>P2 - This week</v>
      </c>
      <c r="H101" s="4" t="s">
        <v>202</v>
      </c>
    </row>
    <row r="102" ht="15.75" customHeight="1">
      <c r="A102" s="2" t="s">
        <v>203</v>
      </c>
      <c r="B102" s="2" t="s">
        <v>9</v>
      </c>
      <c r="C102" s="2" t="s">
        <v>10</v>
      </c>
      <c r="D102" s="2" t="s">
        <v>11</v>
      </c>
      <c r="E102" s="2" t="s">
        <v>57</v>
      </c>
      <c r="F102" s="2" t="s">
        <v>21</v>
      </c>
      <c r="G102" s="3" t="str">
        <f t="shared" si="1"/>
        <v>P2 - This week</v>
      </c>
      <c r="H102" s="4" t="s">
        <v>204</v>
      </c>
    </row>
    <row r="103" ht="15.75" customHeight="1">
      <c r="A103" s="2" t="s">
        <v>205</v>
      </c>
      <c r="B103" s="2" t="s">
        <v>9</v>
      </c>
      <c r="C103" s="2" t="s">
        <v>10</v>
      </c>
      <c r="D103" s="2" t="s">
        <v>11</v>
      </c>
      <c r="E103" s="2" t="s">
        <v>57</v>
      </c>
      <c r="F103" s="2" t="s">
        <v>21</v>
      </c>
      <c r="G103" s="3" t="str">
        <f t="shared" si="1"/>
        <v>P2 - This week</v>
      </c>
      <c r="H103" s="4" t="s">
        <v>206</v>
      </c>
    </row>
    <row r="104" ht="15.75" customHeight="1">
      <c r="A104" s="2" t="s">
        <v>207</v>
      </c>
      <c r="B104" s="2" t="s">
        <v>9</v>
      </c>
      <c r="C104" s="2" t="s">
        <v>10</v>
      </c>
      <c r="D104" s="2" t="s">
        <v>11</v>
      </c>
      <c r="E104" s="2" t="s">
        <v>57</v>
      </c>
      <c r="F104" s="2" t="s">
        <v>21</v>
      </c>
      <c r="G104" s="3" t="str">
        <f t="shared" si="1"/>
        <v>P2 - This week</v>
      </c>
      <c r="H104" s="4" t="s">
        <v>208</v>
      </c>
    </row>
    <row r="105" ht="15.75" customHeight="1">
      <c r="A105" s="2" t="s">
        <v>209</v>
      </c>
      <c r="B105" s="2" t="s">
        <v>9</v>
      </c>
      <c r="C105" s="2" t="s">
        <v>10</v>
      </c>
      <c r="D105" s="2" t="s">
        <v>11</v>
      </c>
      <c r="E105" s="2" t="s">
        <v>57</v>
      </c>
      <c r="F105" s="2" t="s">
        <v>21</v>
      </c>
      <c r="G105" s="3" t="str">
        <f t="shared" si="1"/>
        <v>P2 - This week</v>
      </c>
      <c r="H105" s="4" t="s">
        <v>210</v>
      </c>
    </row>
    <row r="106" ht="15.75" customHeight="1">
      <c r="A106" s="2" t="s">
        <v>211</v>
      </c>
      <c r="B106" s="2" t="s">
        <v>9</v>
      </c>
      <c r="C106" s="2" t="s">
        <v>10</v>
      </c>
      <c r="D106" s="2" t="s">
        <v>11</v>
      </c>
      <c r="E106" s="2" t="s">
        <v>57</v>
      </c>
      <c r="F106" s="2" t="s">
        <v>21</v>
      </c>
      <c r="G106" s="3" t="str">
        <f t="shared" si="1"/>
        <v>P2 - This week</v>
      </c>
      <c r="H106" s="4" t="s">
        <v>101</v>
      </c>
    </row>
    <row r="107" ht="15.75" customHeight="1">
      <c r="A107" s="2" t="s">
        <v>212</v>
      </c>
      <c r="B107" s="2" t="s">
        <v>9</v>
      </c>
      <c r="C107" s="2" t="s">
        <v>10</v>
      </c>
      <c r="D107" s="2" t="s">
        <v>11</v>
      </c>
      <c r="E107" s="2" t="s">
        <v>57</v>
      </c>
      <c r="F107" s="2" t="s">
        <v>21</v>
      </c>
      <c r="G107" s="3" t="str">
        <f t="shared" si="1"/>
        <v>P2 - This week</v>
      </c>
      <c r="H107" s="4" t="s">
        <v>101</v>
      </c>
    </row>
    <row r="108" ht="15.75" customHeight="1">
      <c r="A108" s="2" t="s">
        <v>213</v>
      </c>
      <c r="B108" s="2" t="s">
        <v>9</v>
      </c>
      <c r="C108" s="2" t="s">
        <v>10</v>
      </c>
      <c r="D108" s="2" t="s">
        <v>11</v>
      </c>
      <c r="E108" s="2" t="s">
        <v>57</v>
      </c>
      <c r="F108" s="2" t="s">
        <v>21</v>
      </c>
      <c r="G108" s="3" t="str">
        <f t="shared" si="1"/>
        <v>P2 - This week</v>
      </c>
      <c r="H108" s="4" t="s">
        <v>214</v>
      </c>
    </row>
    <row r="109" ht="15.75" customHeight="1">
      <c r="A109" s="2" t="s">
        <v>215</v>
      </c>
      <c r="B109" s="2" t="s">
        <v>9</v>
      </c>
      <c r="C109" s="2" t="s">
        <v>10</v>
      </c>
      <c r="D109" s="2" t="s">
        <v>11</v>
      </c>
      <c r="E109" s="2" t="s">
        <v>57</v>
      </c>
      <c r="F109" s="2" t="s">
        <v>21</v>
      </c>
      <c r="G109" s="3" t="str">
        <f t="shared" si="1"/>
        <v>P2 - This week</v>
      </c>
      <c r="H109" s="4" t="s">
        <v>216</v>
      </c>
    </row>
    <row r="110" ht="15.75" customHeight="1">
      <c r="A110" s="2" t="s">
        <v>217</v>
      </c>
      <c r="B110" s="2" t="s">
        <v>9</v>
      </c>
      <c r="C110" s="2" t="s">
        <v>10</v>
      </c>
      <c r="D110" s="2" t="s">
        <v>11</v>
      </c>
      <c r="E110" s="2" t="s">
        <v>57</v>
      </c>
      <c r="F110" s="2" t="s">
        <v>21</v>
      </c>
      <c r="G110" s="3" t="str">
        <f t="shared" si="1"/>
        <v>P2 - This week</v>
      </c>
      <c r="H110" s="4" t="s">
        <v>218</v>
      </c>
    </row>
    <row r="111" ht="15.75" customHeight="1">
      <c r="A111" s="2" t="s">
        <v>219</v>
      </c>
      <c r="B111" s="2" t="s">
        <v>9</v>
      </c>
      <c r="C111" s="2" t="s">
        <v>10</v>
      </c>
      <c r="D111" s="2" t="s">
        <v>11</v>
      </c>
      <c r="E111" s="2" t="s">
        <v>57</v>
      </c>
      <c r="F111" s="2" t="s">
        <v>21</v>
      </c>
      <c r="G111" s="3" t="str">
        <f t="shared" si="1"/>
        <v>P2 - This week</v>
      </c>
      <c r="H111" s="4" t="s">
        <v>220</v>
      </c>
    </row>
    <row r="112" ht="15.75" customHeight="1">
      <c r="A112" s="2" t="s">
        <v>221</v>
      </c>
      <c r="B112" s="2" t="s">
        <v>9</v>
      </c>
      <c r="C112" s="2" t="s">
        <v>10</v>
      </c>
      <c r="D112" s="2" t="s">
        <v>11</v>
      </c>
      <c r="E112" s="2" t="s">
        <v>57</v>
      </c>
      <c r="F112" s="2" t="s">
        <v>21</v>
      </c>
      <c r="G112" s="3" t="str">
        <f t="shared" si="1"/>
        <v>P2 - This week</v>
      </c>
      <c r="H112" s="4" t="s">
        <v>222</v>
      </c>
    </row>
    <row r="113" ht="15.75" customHeight="1">
      <c r="A113" s="2" t="s">
        <v>223</v>
      </c>
      <c r="B113" s="2" t="s">
        <v>9</v>
      </c>
      <c r="C113" s="2" t="s">
        <v>10</v>
      </c>
      <c r="D113" s="2" t="s">
        <v>11</v>
      </c>
      <c r="E113" s="2" t="s">
        <v>57</v>
      </c>
      <c r="F113" s="2" t="s">
        <v>21</v>
      </c>
      <c r="G113" s="3" t="str">
        <f t="shared" si="1"/>
        <v>P2 - This week</v>
      </c>
      <c r="H113" s="4" t="s">
        <v>224</v>
      </c>
    </row>
    <row r="114" ht="15.75" customHeight="1">
      <c r="A114" s="2" t="s">
        <v>225</v>
      </c>
      <c r="B114" s="2" t="s">
        <v>9</v>
      </c>
      <c r="C114" s="2" t="s">
        <v>10</v>
      </c>
      <c r="D114" s="2" t="s">
        <v>11</v>
      </c>
      <c r="E114" s="2" t="s">
        <v>57</v>
      </c>
      <c r="F114" s="2" t="s">
        <v>21</v>
      </c>
      <c r="G114" s="3" t="str">
        <f t="shared" si="1"/>
        <v>P2 - This week</v>
      </c>
      <c r="H114" s="4" t="s">
        <v>226</v>
      </c>
    </row>
    <row r="115" ht="15.75" customHeight="1">
      <c r="A115" s="2" t="s">
        <v>227</v>
      </c>
      <c r="B115" s="2" t="s">
        <v>9</v>
      </c>
      <c r="C115" s="2" t="s">
        <v>10</v>
      </c>
      <c r="D115" s="2" t="s">
        <v>11</v>
      </c>
      <c r="E115" s="2" t="s">
        <v>57</v>
      </c>
      <c r="F115" s="2" t="s">
        <v>21</v>
      </c>
      <c r="G115" s="3" t="str">
        <f t="shared" si="1"/>
        <v>P2 - This week</v>
      </c>
      <c r="H115" s="4" t="s">
        <v>228</v>
      </c>
    </row>
    <row r="116" ht="15.75" customHeight="1">
      <c r="A116" s="2" t="s">
        <v>229</v>
      </c>
      <c r="B116" s="2" t="s">
        <v>9</v>
      </c>
      <c r="C116" s="2" t="s">
        <v>10</v>
      </c>
      <c r="D116" s="2" t="s">
        <v>11</v>
      </c>
      <c r="E116" s="2" t="s">
        <v>57</v>
      </c>
      <c r="F116" s="2" t="s">
        <v>21</v>
      </c>
      <c r="G116" s="3" t="str">
        <f t="shared" si="1"/>
        <v>P2 - This week</v>
      </c>
      <c r="H116" s="4" t="s">
        <v>216</v>
      </c>
    </row>
    <row r="117" ht="15.75" customHeight="1">
      <c r="A117" s="2" t="s">
        <v>230</v>
      </c>
      <c r="B117" s="2" t="s">
        <v>9</v>
      </c>
      <c r="C117" s="2" t="s">
        <v>10</v>
      </c>
      <c r="D117" s="2" t="s">
        <v>11</v>
      </c>
      <c r="E117" s="2" t="s">
        <v>57</v>
      </c>
      <c r="F117" s="2" t="s">
        <v>21</v>
      </c>
      <c r="G117" s="3" t="str">
        <f t="shared" si="1"/>
        <v>P2 - This week</v>
      </c>
      <c r="H117" s="4" t="s">
        <v>231</v>
      </c>
    </row>
    <row r="118" ht="15.75" customHeight="1">
      <c r="A118" s="2" t="s">
        <v>232</v>
      </c>
      <c r="B118" s="2" t="s">
        <v>9</v>
      </c>
      <c r="C118" s="2" t="s">
        <v>10</v>
      </c>
      <c r="D118" s="2" t="s">
        <v>11</v>
      </c>
      <c r="E118" s="2" t="s">
        <v>57</v>
      </c>
      <c r="F118" s="2" t="s">
        <v>21</v>
      </c>
      <c r="G118" s="3" t="str">
        <f t="shared" si="1"/>
        <v>P2 - This week</v>
      </c>
      <c r="H118" s="4" t="s">
        <v>106</v>
      </c>
    </row>
    <row r="119" ht="15.75" customHeight="1">
      <c r="A119" s="2" t="s">
        <v>233</v>
      </c>
      <c r="B119" s="2" t="s">
        <v>9</v>
      </c>
      <c r="C119" s="2" t="s">
        <v>10</v>
      </c>
      <c r="D119" s="2" t="s">
        <v>11</v>
      </c>
      <c r="E119" s="2" t="s">
        <v>57</v>
      </c>
      <c r="F119" s="2" t="s">
        <v>21</v>
      </c>
      <c r="G119" s="3" t="str">
        <f t="shared" si="1"/>
        <v>P2 - This week</v>
      </c>
      <c r="H119" s="4" t="s">
        <v>234</v>
      </c>
    </row>
    <row r="120" ht="15.75" customHeight="1">
      <c r="A120" s="2" t="s">
        <v>235</v>
      </c>
      <c r="B120" s="2" t="s">
        <v>9</v>
      </c>
      <c r="C120" s="2" t="s">
        <v>10</v>
      </c>
      <c r="D120" s="2" t="s">
        <v>11</v>
      </c>
      <c r="E120" s="2" t="s">
        <v>57</v>
      </c>
      <c r="F120" s="2" t="s">
        <v>21</v>
      </c>
      <c r="G120" s="3" t="str">
        <f t="shared" si="1"/>
        <v>P2 - This week</v>
      </c>
      <c r="H120" s="4" t="s">
        <v>216</v>
      </c>
    </row>
    <row r="121" ht="15.75" customHeight="1">
      <c r="A121" s="2" t="s">
        <v>236</v>
      </c>
      <c r="B121" s="2" t="s">
        <v>9</v>
      </c>
      <c r="C121" s="2" t="s">
        <v>10</v>
      </c>
      <c r="D121" s="2" t="s">
        <v>11</v>
      </c>
      <c r="E121" s="2" t="s">
        <v>57</v>
      </c>
      <c r="F121" s="2" t="s">
        <v>21</v>
      </c>
      <c r="G121" s="3" t="str">
        <f t="shared" si="1"/>
        <v>P2 - This week</v>
      </c>
      <c r="H121" s="4" t="s">
        <v>216</v>
      </c>
    </row>
    <row r="122" ht="15.75" customHeight="1">
      <c r="A122" s="2" t="s">
        <v>237</v>
      </c>
      <c r="B122" s="2" t="s">
        <v>9</v>
      </c>
      <c r="C122" s="2" t="s">
        <v>10</v>
      </c>
      <c r="D122" s="2" t="s">
        <v>11</v>
      </c>
      <c r="E122" s="2" t="s">
        <v>57</v>
      </c>
      <c r="F122" s="2" t="s">
        <v>21</v>
      </c>
      <c r="G122" s="3" t="str">
        <f t="shared" si="1"/>
        <v>P2 - This week</v>
      </c>
      <c r="H122" s="4" t="s">
        <v>238</v>
      </c>
    </row>
    <row r="123" ht="15.75" customHeight="1">
      <c r="A123" s="2" t="s">
        <v>239</v>
      </c>
      <c r="B123" s="2" t="s">
        <v>9</v>
      </c>
      <c r="C123" s="2" t="s">
        <v>10</v>
      </c>
      <c r="D123" s="2" t="s">
        <v>11</v>
      </c>
      <c r="E123" s="2" t="s">
        <v>57</v>
      </c>
      <c r="F123" s="2" t="s">
        <v>21</v>
      </c>
      <c r="G123" s="3" t="str">
        <f t="shared" si="1"/>
        <v>P2 - This week</v>
      </c>
      <c r="H123" s="4" t="s">
        <v>135</v>
      </c>
    </row>
    <row r="124" ht="15.75" customHeight="1">
      <c r="A124" s="2" t="s">
        <v>240</v>
      </c>
      <c r="B124" s="2" t="s">
        <v>9</v>
      </c>
      <c r="C124" s="2" t="s">
        <v>10</v>
      </c>
      <c r="D124" s="2" t="s">
        <v>11</v>
      </c>
      <c r="E124" s="2" t="s">
        <v>57</v>
      </c>
      <c r="F124" s="2" t="s">
        <v>21</v>
      </c>
      <c r="G124" s="3" t="str">
        <f t="shared" si="1"/>
        <v>P2 - This week</v>
      </c>
      <c r="H124" s="4" t="s">
        <v>101</v>
      </c>
    </row>
    <row r="125" ht="15.75" customHeight="1">
      <c r="A125" s="2" t="s">
        <v>241</v>
      </c>
      <c r="B125" s="2" t="s">
        <v>9</v>
      </c>
      <c r="C125" s="2" t="s">
        <v>10</v>
      </c>
      <c r="D125" s="2" t="s">
        <v>11</v>
      </c>
      <c r="E125" s="2" t="s">
        <v>57</v>
      </c>
      <c r="F125" s="2" t="s">
        <v>21</v>
      </c>
      <c r="G125" s="3" t="str">
        <f t="shared" si="1"/>
        <v>P2 - This week</v>
      </c>
      <c r="H125" s="4" t="s">
        <v>242</v>
      </c>
    </row>
    <row r="126" ht="15.75" customHeight="1">
      <c r="A126" s="2" t="s">
        <v>243</v>
      </c>
      <c r="B126" s="2" t="s">
        <v>9</v>
      </c>
      <c r="C126" s="2" t="s">
        <v>10</v>
      </c>
      <c r="D126" s="2" t="s">
        <v>11</v>
      </c>
      <c r="E126" s="2" t="s">
        <v>57</v>
      </c>
      <c r="F126" s="2" t="s">
        <v>21</v>
      </c>
      <c r="G126" s="3" t="str">
        <f t="shared" si="1"/>
        <v>P2 - This week</v>
      </c>
      <c r="H126" s="4" t="s">
        <v>224</v>
      </c>
    </row>
    <row r="127" ht="15.75" customHeight="1">
      <c r="A127" s="2" t="s">
        <v>244</v>
      </c>
      <c r="B127" s="2" t="s">
        <v>9</v>
      </c>
      <c r="C127" s="2" t="s">
        <v>10</v>
      </c>
      <c r="D127" s="2" t="s">
        <v>11</v>
      </c>
      <c r="E127" s="2" t="s">
        <v>57</v>
      </c>
      <c r="F127" s="2" t="s">
        <v>21</v>
      </c>
      <c r="G127" s="3" t="str">
        <f t="shared" si="1"/>
        <v>P2 - This week</v>
      </c>
      <c r="H127" s="4" t="s">
        <v>245</v>
      </c>
    </row>
    <row r="128" ht="15.75" customHeight="1">
      <c r="A128" s="2" t="s">
        <v>246</v>
      </c>
      <c r="B128" s="2" t="s">
        <v>9</v>
      </c>
      <c r="C128" s="2" t="s">
        <v>10</v>
      </c>
      <c r="D128" s="2" t="s">
        <v>11</v>
      </c>
      <c r="E128" s="2" t="s">
        <v>57</v>
      </c>
      <c r="F128" s="2" t="s">
        <v>21</v>
      </c>
      <c r="G128" s="3" t="str">
        <f t="shared" si="1"/>
        <v>P2 - This week</v>
      </c>
      <c r="H128" s="4" t="s">
        <v>160</v>
      </c>
    </row>
    <row r="129" ht="15.75" customHeight="1">
      <c r="A129" s="2" t="s">
        <v>247</v>
      </c>
      <c r="B129" s="2" t="s">
        <v>9</v>
      </c>
      <c r="C129" s="2" t="s">
        <v>10</v>
      </c>
      <c r="D129" s="2" t="s">
        <v>11</v>
      </c>
      <c r="E129" s="2" t="s">
        <v>57</v>
      </c>
      <c r="F129" s="2" t="s">
        <v>21</v>
      </c>
      <c r="G129" s="3" t="str">
        <f t="shared" si="1"/>
        <v>P2 - This week</v>
      </c>
      <c r="H129" s="4" t="s">
        <v>248</v>
      </c>
    </row>
    <row r="130" ht="15.75" customHeight="1">
      <c r="A130" s="2" t="s">
        <v>249</v>
      </c>
      <c r="B130" s="2" t="s">
        <v>9</v>
      </c>
      <c r="C130" s="2" t="s">
        <v>10</v>
      </c>
      <c r="D130" s="2" t="s">
        <v>11</v>
      </c>
      <c r="E130" s="2" t="s">
        <v>57</v>
      </c>
      <c r="F130" s="2" t="s">
        <v>21</v>
      </c>
      <c r="G130" s="3" t="str">
        <f t="shared" si="1"/>
        <v>P2 - This week</v>
      </c>
      <c r="H130" s="4" t="s">
        <v>250</v>
      </c>
    </row>
    <row r="131" ht="15.75" customHeight="1">
      <c r="A131" s="2" t="s">
        <v>251</v>
      </c>
      <c r="B131" s="2" t="s">
        <v>9</v>
      </c>
      <c r="C131" s="2" t="s">
        <v>10</v>
      </c>
      <c r="D131" s="2" t="s">
        <v>11</v>
      </c>
      <c r="E131" s="2" t="s">
        <v>57</v>
      </c>
      <c r="F131" s="2" t="s">
        <v>21</v>
      </c>
      <c r="G131" s="3" t="str">
        <f t="shared" si="1"/>
        <v>P2 - This week</v>
      </c>
      <c r="H131" s="4" t="s">
        <v>252</v>
      </c>
    </row>
    <row r="132" ht="15.75" customHeight="1">
      <c r="A132" s="2" t="s">
        <v>253</v>
      </c>
      <c r="B132" s="2" t="s">
        <v>9</v>
      </c>
      <c r="C132" s="2" t="s">
        <v>10</v>
      </c>
      <c r="D132" s="2" t="s">
        <v>11</v>
      </c>
      <c r="E132" s="2" t="s">
        <v>57</v>
      </c>
      <c r="F132" s="2" t="s">
        <v>21</v>
      </c>
      <c r="G132" s="3" t="str">
        <f t="shared" si="1"/>
        <v>P2 - This week</v>
      </c>
      <c r="H132" s="4" t="s">
        <v>254</v>
      </c>
    </row>
    <row r="133" ht="15.75" customHeight="1">
      <c r="A133" s="2" t="s">
        <v>255</v>
      </c>
      <c r="B133" s="2" t="s">
        <v>9</v>
      </c>
      <c r="C133" s="2" t="s">
        <v>10</v>
      </c>
      <c r="D133" s="2" t="s">
        <v>11</v>
      </c>
      <c r="E133" s="2" t="s">
        <v>57</v>
      </c>
      <c r="F133" s="2" t="s">
        <v>21</v>
      </c>
      <c r="G133" s="3" t="str">
        <f t="shared" si="1"/>
        <v>P2 - This week</v>
      </c>
      <c r="H133" s="4" t="s">
        <v>254</v>
      </c>
    </row>
    <row r="134" ht="15.75" customHeight="1">
      <c r="A134" s="2" t="s">
        <v>256</v>
      </c>
      <c r="B134" s="2" t="s">
        <v>9</v>
      </c>
      <c r="C134" s="2" t="s">
        <v>10</v>
      </c>
      <c r="D134" s="2" t="s">
        <v>11</v>
      </c>
      <c r="E134" s="2" t="s">
        <v>57</v>
      </c>
      <c r="F134" s="2" t="s">
        <v>21</v>
      </c>
      <c r="G134" s="3" t="str">
        <f t="shared" si="1"/>
        <v>P2 - This week</v>
      </c>
      <c r="H134" s="4" t="s">
        <v>238</v>
      </c>
    </row>
    <row r="135" ht="15.75" customHeight="1">
      <c r="A135" s="2" t="s">
        <v>257</v>
      </c>
      <c r="B135" s="2" t="s">
        <v>9</v>
      </c>
      <c r="C135" s="2" t="s">
        <v>10</v>
      </c>
      <c r="D135" s="2" t="s">
        <v>11</v>
      </c>
      <c r="E135" s="2" t="s">
        <v>57</v>
      </c>
      <c r="F135" s="2" t="s">
        <v>21</v>
      </c>
      <c r="G135" s="3" t="str">
        <f t="shared" si="1"/>
        <v>P2 - This week</v>
      </c>
      <c r="H135" s="4" t="s">
        <v>135</v>
      </c>
    </row>
    <row r="136" ht="15.75" customHeight="1">
      <c r="A136" s="2" t="s">
        <v>258</v>
      </c>
      <c r="B136" s="2" t="s">
        <v>9</v>
      </c>
      <c r="C136" s="2" t="s">
        <v>10</v>
      </c>
      <c r="D136" s="2" t="s">
        <v>11</v>
      </c>
      <c r="E136" s="2" t="s">
        <v>57</v>
      </c>
      <c r="F136" s="2" t="s">
        <v>21</v>
      </c>
      <c r="G136" s="3" t="str">
        <f t="shared" si="1"/>
        <v>P2 - This week</v>
      </c>
      <c r="H136" s="4" t="s">
        <v>259</v>
      </c>
    </row>
    <row r="137" ht="15.75" customHeight="1">
      <c r="A137" s="2" t="s">
        <v>260</v>
      </c>
      <c r="B137" s="2" t="s">
        <v>9</v>
      </c>
      <c r="C137" s="2" t="s">
        <v>10</v>
      </c>
      <c r="D137" s="2" t="s">
        <v>11</v>
      </c>
      <c r="E137" s="2" t="s">
        <v>57</v>
      </c>
      <c r="F137" s="2" t="s">
        <v>21</v>
      </c>
      <c r="G137" s="3" t="str">
        <f t="shared" si="1"/>
        <v>P2 - This week</v>
      </c>
      <c r="H137" s="4" t="s">
        <v>254</v>
      </c>
    </row>
    <row r="138" ht="15.75" customHeight="1">
      <c r="A138" s="2" t="s">
        <v>261</v>
      </c>
      <c r="B138" s="2" t="s">
        <v>9</v>
      </c>
      <c r="C138" s="2" t="s">
        <v>10</v>
      </c>
      <c r="D138" s="2" t="s">
        <v>11</v>
      </c>
      <c r="E138" s="2" t="s">
        <v>57</v>
      </c>
      <c r="F138" s="2" t="s">
        <v>21</v>
      </c>
      <c r="G138" s="3" t="str">
        <f t="shared" si="1"/>
        <v>P2 - This week</v>
      </c>
      <c r="H138" s="4" t="s">
        <v>238</v>
      </c>
    </row>
    <row r="139" ht="15.75" customHeight="1">
      <c r="A139" s="2" t="s">
        <v>262</v>
      </c>
      <c r="B139" s="2" t="s">
        <v>9</v>
      </c>
      <c r="C139" s="2" t="s">
        <v>10</v>
      </c>
      <c r="D139" s="2" t="s">
        <v>11</v>
      </c>
      <c r="E139" s="2" t="s">
        <v>57</v>
      </c>
      <c r="F139" s="2" t="s">
        <v>21</v>
      </c>
      <c r="G139" s="3" t="str">
        <f t="shared" si="1"/>
        <v>P2 - This week</v>
      </c>
      <c r="H139" s="4" t="s">
        <v>224</v>
      </c>
    </row>
    <row r="140" ht="15.75" customHeight="1">
      <c r="A140" s="2" t="s">
        <v>263</v>
      </c>
      <c r="B140" s="2" t="s">
        <v>9</v>
      </c>
      <c r="C140" s="2" t="s">
        <v>10</v>
      </c>
      <c r="D140" s="2" t="s">
        <v>11</v>
      </c>
      <c r="E140" s="2" t="s">
        <v>57</v>
      </c>
      <c r="F140" s="2" t="s">
        <v>21</v>
      </c>
      <c r="G140" s="3" t="str">
        <f t="shared" si="1"/>
        <v>P2 - This week</v>
      </c>
      <c r="H140" s="4" t="s">
        <v>264</v>
      </c>
    </row>
    <row r="141" ht="15.75" customHeight="1">
      <c r="A141" s="2" t="s">
        <v>265</v>
      </c>
      <c r="B141" s="2" t="s">
        <v>9</v>
      </c>
      <c r="C141" s="2" t="s">
        <v>10</v>
      </c>
      <c r="D141" s="2" t="s">
        <v>11</v>
      </c>
      <c r="E141" s="2" t="s">
        <v>57</v>
      </c>
      <c r="F141" s="2" t="s">
        <v>21</v>
      </c>
      <c r="G141" s="3" t="str">
        <f t="shared" si="1"/>
        <v>P2 - This week</v>
      </c>
      <c r="H141" s="4" t="s">
        <v>266</v>
      </c>
    </row>
    <row r="142" ht="15.75" customHeight="1">
      <c r="A142" s="2" t="s">
        <v>267</v>
      </c>
      <c r="B142" s="2" t="s">
        <v>9</v>
      </c>
      <c r="C142" s="2" t="s">
        <v>10</v>
      </c>
      <c r="D142" s="2" t="s">
        <v>11</v>
      </c>
      <c r="E142" s="2" t="s">
        <v>57</v>
      </c>
      <c r="F142" s="2" t="s">
        <v>21</v>
      </c>
      <c r="G142" s="3" t="str">
        <f t="shared" si="1"/>
        <v>P2 - This week</v>
      </c>
      <c r="H142" s="4" t="s">
        <v>106</v>
      </c>
    </row>
    <row r="143" ht="15.75" customHeight="1">
      <c r="A143" s="2" t="s">
        <v>268</v>
      </c>
      <c r="B143" s="2" t="s">
        <v>9</v>
      </c>
      <c r="C143" s="2" t="s">
        <v>10</v>
      </c>
      <c r="D143" s="2" t="s">
        <v>11</v>
      </c>
      <c r="E143" s="2" t="s">
        <v>57</v>
      </c>
      <c r="F143" s="2" t="s">
        <v>21</v>
      </c>
      <c r="G143" s="3" t="str">
        <f t="shared" si="1"/>
        <v>P2 - This week</v>
      </c>
      <c r="H143" s="4" t="s">
        <v>269</v>
      </c>
    </row>
    <row r="144" ht="15.75" customHeight="1">
      <c r="A144" s="2" t="s">
        <v>270</v>
      </c>
      <c r="B144" s="2" t="s">
        <v>9</v>
      </c>
      <c r="C144" s="2" t="s">
        <v>10</v>
      </c>
      <c r="D144" s="2" t="s">
        <v>11</v>
      </c>
      <c r="E144" s="2" t="s">
        <v>57</v>
      </c>
      <c r="F144" s="2" t="s">
        <v>21</v>
      </c>
      <c r="G144" s="3" t="str">
        <f t="shared" si="1"/>
        <v>P2 - This week</v>
      </c>
      <c r="H144" s="4" t="s">
        <v>245</v>
      </c>
    </row>
    <row r="145" ht="15.75" customHeight="1">
      <c r="A145" s="2" t="s">
        <v>271</v>
      </c>
      <c r="B145" s="2" t="s">
        <v>9</v>
      </c>
      <c r="C145" s="2" t="s">
        <v>10</v>
      </c>
      <c r="D145" s="2" t="s">
        <v>11</v>
      </c>
      <c r="E145" s="2" t="s">
        <v>57</v>
      </c>
      <c r="F145" s="2" t="s">
        <v>21</v>
      </c>
      <c r="G145" s="3" t="str">
        <f t="shared" si="1"/>
        <v>P2 - This week</v>
      </c>
      <c r="H145" s="4" t="s">
        <v>272</v>
      </c>
    </row>
    <row r="146" ht="15.75" customHeight="1">
      <c r="A146" s="2" t="s">
        <v>273</v>
      </c>
      <c r="B146" s="2" t="s">
        <v>9</v>
      </c>
      <c r="C146" s="2" t="s">
        <v>10</v>
      </c>
      <c r="D146" s="2" t="s">
        <v>11</v>
      </c>
      <c r="E146" s="2" t="s">
        <v>57</v>
      </c>
      <c r="F146" s="2" t="s">
        <v>21</v>
      </c>
      <c r="G146" s="3" t="str">
        <f t="shared" si="1"/>
        <v>P2 - This week</v>
      </c>
      <c r="H146" s="4" t="s">
        <v>274</v>
      </c>
    </row>
    <row r="147" ht="15.75" customHeight="1">
      <c r="A147" s="2" t="s">
        <v>275</v>
      </c>
      <c r="B147" s="2" t="s">
        <v>9</v>
      </c>
      <c r="C147" s="2" t="s">
        <v>10</v>
      </c>
      <c r="D147" s="2" t="s">
        <v>11</v>
      </c>
      <c r="E147" s="2" t="s">
        <v>57</v>
      </c>
      <c r="F147" s="2" t="s">
        <v>21</v>
      </c>
      <c r="G147" s="3" t="str">
        <f t="shared" si="1"/>
        <v>P2 - This week</v>
      </c>
      <c r="H147" s="4" t="s">
        <v>135</v>
      </c>
    </row>
    <row r="148" ht="15.75" customHeight="1">
      <c r="A148" s="2" t="s">
        <v>276</v>
      </c>
      <c r="B148" s="2" t="s">
        <v>9</v>
      </c>
      <c r="C148" s="2" t="s">
        <v>10</v>
      </c>
      <c r="D148" s="2" t="s">
        <v>11</v>
      </c>
      <c r="E148" s="2" t="s">
        <v>57</v>
      </c>
      <c r="F148" s="2" t="s">
        <v>21</v>
      </c>
      <c r="G148" s="3" t="str">
        <f t="shared" si="1"/>
        <v>P2 - This week</v>
      </c>
      <c r="H148" s="4" t="s">
        <v>277</v>
      </c>
    </row>
    <row r="149" ht="15.75" customHeight="1">
      <c r="A149" s="2" t="s">
        <v>278</v>
      </c>
      <c r="B149" s="2" t="s">
        <v>9</v>
      </c>
      <c r="C149" s="2" t="s">
        <v>10</v>
      </c>
      <c r="D149" s="2" t="s">
        <v>11</v>
      </c>
      <c r="E149" s="2" t="s">
        <v>57</v>
      </c>
      <c r="F149" s="2" t="s">
        <v>21</v>
      </c>
      <c r="G149" s="3" t="str">
        <f t="shared" si="1"/>
        <v>P2 - This week</v>
      </c>
      <c r="H149" s="4" t="s">
        <v>279</v>
      </c>
    </row>
    <row r="150" ht="15.75" customHeight="1">
      <c r="A150" s="2" t="s">
        <v>280</v>
      </c>
      <c r="B150" s="2" t="s">
        <v>9</v>
      </c>
      <c r="C150" s="2" t="s">
        <v>10</v>
      </c>
      <c r="D150" s="2" t="s">
        <v>11</v>
      </c>
      <c r="E150" s="2" t="s">
        <v>57</v>
      </c>
      <c r="F150" s="2" t="s">
        <v>21</v>
      </c>
      <c r="G150" s="3" t="str">
        <f t="shared" si="1"/>
        <v>P2 - This week</v>
      </c>
      <c r="H150" s="4" t="s">
        <v>281</v>
      </c>
    </row>
    <row r="151" ht="15.75" customHeight="1">
      <c r="A151" s="2" t="s">
        <v>282</v>
      </c>
      <c r="B151" s="2" t="s">
        <v>9</v>
      </c>
      <c r="C151" s="2" t="s">
        <v>10</v>
      </c>
      <c r="D151" s="2" t="s">
        <v>11</v>
      </c>
      <c r="E151" s="2" t="s">
        <v>57</v>
      </c>
      <c r="F151" s="2" t="s">
        <v>21</v>
      </c>
      <c r="G151" s="3" t="str">
        <f t="shared" si="1"/>
        <v>P2 - This week</v>
      </c>
      <c r="H151" s="4" t="s">
        <v>283</v>
      </c>
    </row>
    <row r="152" ht="15.75" customHeight="1">
      <c r="A152" s="2" t="s">
        <v>284</v>
      </c>
      <c r="B152" s="2" t="s">
        <v>9</v>
      </c>
      <c r="C152" s="2" t="s">
        <v>10</v>
      </c>
      <c r="D152" s="2" t="s">
        <v>11</v>
      </c>
      <c r="E152" s="2" t="s">
        <v>57</v>
      </c>
      <c r="F152" s="2" t="s">
        <v>21</v>
      </c>
      <c r="G152" s="3" t="str">
        <f t="shared" si="1"/>
        <v>P2 - This week</v>
      </c>
      <c r="H152" s="4" t="s">
        <v>285</v>
      </c>
    </row>
    <row r="153" ht="15.75" customHeight="1">
      <c r="A153" s="2" t="s">
        <v>286</v>
      </c>
      <c r="B153" s="2" t="s">
        <v>9</v>
      </c>
      <c r="C153" s="2" t="s">
        <v>10</v>
      </c>
      <c r="D153" s="2" t="s">
        <v>11</v>
      </c>
      <c r="E153" s="2" t="s">
        <v>57</v>
      </c>
      <c r="F153" s="2" t="s">
        <v>21</v>
      </c>
      <c r="G153" s="3" t="str">
        <f t="shared" si="1"/>
        <v>P2 - This week</v>
      </c>
      <c r="H153" s="4" t="s">
        <v>272</v>
      </c>
    </row>
    <row r="154" ht="15.75" customHeight="1">
      <c r="A154" s="2" t="s">
        <v>287</v>
      </c>
      <c r="B154" s="2" t="s">
        <v>9</v>
      </c>
      <c r="C154" s="2" t="s">
        <v>10</v>
      </c>
      <c r="D154" s="2" t="s">
        <v>11</v>
      </c>
      <c r="E154" s="2" t="s">
        <v>57</v>
      </c>
      <c r="F154" s="2" t="s">
        <v>21</v>
      </c>
      <c r="G154" s="3" t="str">
        <f t="shared" si="1"/>
        <v>P2 - This week</v>
      </c>
      <c r="H154" s="4" t="s">
        <v>288</v>
      </c>
    </row>
    <row r="155" ht="15.75" customHeight="1">
      <c r="A155" s="2" t="s">
        <v>289</v>
      </c>
      <c r="B155" s="2" t="s">
        <v>9</v>
      </c>
      <c r="C155" s="2" t="s">
        <v>10</v>
      </c>
      <c r="D155" s="2" t="s">
        <v>11</v>
      </c>
      <c r="E155" s="2" t="s">
        <v>57</v>
      </c>
      <c r="F155" s="2" t="s">
        <v>21</v>
      </c>
      <c r="G155" s="3" t="str">
        <f t="shared" si="1"/>
        <v>P2 - This week</v>
      </c>
      <c r="H155" s="4" t="s">
        <v>281</v>
      </c>
    </row>
    <row r="156" ht="15.75" customHeight="1">
      <c r="A156" s="2" t="s">
        <v>290</v>
      </c>
      <c r="B156" s="2" t="s">
        <v>9</v>
      </c>
      <c r="C156" s="2" t="s">
        <v>10</v>
      </c>
      <c r="D156" s="2" t="s">
        <v>11</v>
      </c>
      <c r="E156" s="2" t="s">
        <v>57</v>
      </c>
      <c r="F156" s="2" t="s">
        <v>21</v>
      </c>
      <c r="G156" s="3" t="str">
        <f t="shared" si="1"/>
        <v>P2 - This week</v>
      </c>
      <c r="H156" s="4" t="s">
        <v>291</v>
      </c>
    </row>
    <row r="157" ht="15.75" customHeight="1">
      <c r="A157" s="2" t="s">
        <v>292</v>
      </c>
      <c r="B157" s="2" t="s">
        <v>9</v>
      </c>
      <c r="C157" s="2" t="s">
        <v>10</v>
      </c>
      <c r="D157" s="2" t="s">
        <v>11</v>
      </c>
      <c r="E157" s="2" t="s">
        <v>57</v>
      </c>
      <c r="F157" s="2" t="s">
        <v>21</v>
      </c>
      <c r="G157" s="3" t="str">
        <f t="shared" si="1"/>
        <v>P2 - This week</v>
      </c>
      <c r="H157" s="4" t="s">
        <v>277</v>
      </c>
    </row>
    <row r="158" ht="15.75" customHeight="1">
      <c r="A158" s="2" t="s">
        <v>293</v>
      </c>
      <c r="B158" s="2" t="s">
        <v>9</v>
      </c>
      <c r="C158" s="2" t="s">
        <v>10</v>
      </c>
      <c r="D158" s="2" t="s">
        <v>11</v>
      </c>
      <c r="E158" s="2" t="s">
        <v>57</v>
      </c>
      <c r="F158" s="2" t="s">
        <v>21</v>
      </c>
      <c r="G158" s="3" t="str">
        <f t="shared" si="1"/>
        <v>P2 - This week</v>
      </c>
      <c r="H158" s="4" t="s">
        <v>277</v>
      </c>
    </row>
    <row r="159" ht="15.75" customHeight="1">
      <c r="A159" s="2" t="s">
        <v>294</v>
      </c>
      <c r="B159" s="2" t="s">
        <v>9</v>
      </c>
      <c r="C159" s="2" t="s">
        <v>10</v>
      </c>
      <c r="D159" s="2" t="s">
        <v>11</v>
      </c>
      <c r="E159" s="2" t="s">
        <v>57</v>
      </c>
      <c r="F159" s="2" t="s">
        <v>21</v>
      </c>
      <c r="G159" s="3" t="str">
        <f t="shared" si="1"/>
        <v>P2 - This week</v>
      </c>
      <c r="H159" s="4" t="s">
        <v>295</v>
      </c>
    </row>
    <row r="160" ht="15.75" customHeight="1">
      <c r="A160" s="2" t="s">
        <v>296</v>
      </c>
      <c r="B160" s="2" t="s">
        <v>9</v>
      </c>
      <c r="C160" s="2" t="s">
        <v>10</v>
      </c>
      <c r="D160" s="2" t="s">
        <v>11</v>
      </c>
      <c r="E160" s="2" t="s">
        <v>57</v>
      </c>
      <c r="F160" s="2" t="s">
        <v>21</v>
      </c>
      <c r="G160" s="3" t="str">
        <f t="shared" si="1"/>
        <v>P2 - This week</v>
      </c>
      <c r="H160" s="4" t="s">
        <v>254</v>
      </c>
    </row>
    <row r="161" ht="15.75" customHeight="1">
      <c r="A161" s="2" t="s">
        <v>297</v>
      </c>
      <c r="B161" s="2" t="s">
        <v>9</v>
      </c>
      <c r="C161" s="2" t="s">
        <v>10</v>
      </c>
      <c r="D161" s="2" t="s">
        <v>11</v>
      </c>
      <c r="E161" s="2" t="s">
        <v>57</v>
      </c>
      <c r="F161" s="2" t="s">
        <v>21</v>
      </c>
      <c r="G161" s="3" t="str">
        <f t="shared" si="1"/>
        <v>P2 - This week</v>
      </c>
      <c r="H161" s="4" t="s">
        <v>298</v>
      </c>
    </row>
    <row r="162" ht="15.75" customHeight="1">
      <c r="A162" s="2" t="s">
        <v>299</v>
      </c>
      <c r="B162" s="2" t="s">
        <v>9</v>
      </c>
      <c r="C162" s="2" t="s">
        <v>10</v>
      </c>
      <c r="D162" s="2" t="s">
        <v>11</v>
      </c>
      <c r="E162" s="2" t="s">
        <v>57</v>
      </c>
      <c r="F162" s="2" t="s">
        <v>21</v>
      </c>
      <c r="G162" s="3" t="str">
        <f t="shared" si="1"/>
        <v>P2 - This week</v>
      </c>
      <c r="H162" s="4" t="s">
        <v>300</v>
      </c>
    </row>
    <row r="163" ht="15.75" customHeight="1">
      <c r="A163" s="2" t="s">
        <v>301</v>
      </c>
      <c r="B163" s="2" t="s">
        <v>9</v>
      </c>
      <c r="C163" s="2" t="s">
        <v>10</v>
      </c>
      <c r="D163" s="2" t="s">
        <v>11</v>
      </c>
      <c r="E163" s="2" t="s">
        <v>57</v>
      </c>
      <c r="F163" s="2" t="s">
        <v>21</v>
      </c>
      <c r="G163" s="3" t="str">
        <f t="shared" si="1"/>
        <v>P2 - This week</v>
      </c>
      <c r="H163" s="4" t="s">
        <v>245</v>
      </c>
    </row>
    <row r="164" ht="15.75" customHeight="1">
      <c r="A164" s="2" t="s">
        <v>302</v>
      </c>
      <c r="B164" s="2" t="s">
        <v>9</v>
      </c>
      <c r="C164" s="2" t="s">
        <v>10</v>
      </c>
      <c r="D164" s="2" t="s">
        <v>11</v>
      </c>
      <c r="E164" s="2" t="s">
        <v>57</v>
      </c>
      <c r="F164" s="2" t="s">
        <v>21</v>
      </c>
      <c r="G164" s="3" t="str">
        <f t="shared" si="1"/>
        <v>P2 - This week</v>
      </c>
      <c r="H164" s="4" t="s">
        <v>303</v>
      </c>
    </row>
    <row r="165" ht="15.75" customHeight="1">
      <c r="A165" s="2" t="s">
        <v>304</v>
      </c>
      <c r="B165" s="2" t="s">
        <v>9</v>
      </c>
      <c r="C165" s="2" t="s">
        <v>10</v>
      </c>
      <c r="D165" s="2" t="s">
        <v>11</v>
      </c>
      <c r="E165" s="2" t="s">
        <v>57</v>
      </c>
      <c r="F165" s="2" t="s">
        <v>21</v>
      </c>
      <c r="G165" s="3" t="str">
        <f t="shared" si="1"/>
        <v>P2 - This week</v>
      </c>
      <c r="H165" s="4" t="s">
        <v>305</v>
      </c>
    </row>
    <row r="166" ht="15.75" customHeight="1">
      <c r="A166" s="2" t="s">
        <v>306</v>
      </c>
      <c r="B166" s="2" t="s">
        <v>9</v>
      </c>
      <c r="C166" s="2" t="s">
        <v>10</v>
      </c>
      <c r="D166" s="2" t="s">
        <v>11</v>
      </c>
      <c r="E166" s="2" t="s">
        <v>57</v>
      </c>
      <c r="F166" s="2" t="s">
        <v>21</v>
      </c>
      <c r="G166" s="3" t="str">
        <f t="shared" si="1"/>
        <v>P2 - This week</v>
      </c>
      <c r="H166" s="4" t="s">
        <v>164</v>
      </c>
    </row>
    <row r="167" ht="15.75" customHeight="1">
      <c r="A167" s="2" t="s">
        <v>307</v>
      </c>
      <c r="B167" s="2" t="s">
        <v>9</v>
      </c>
      <c r="C167" s="2" t="s">
        <v>10</v>
      </c>
      <c r="D167" s="2" t="s">
        <v>11</v>
      </c>
      <c r="E167" s="2" t="s">
        <v>57</v>
      </c>
      <c r="F167" s="2" t="s">
        <v>21</v>
      </c>
      <c r="G167" s="3" t="str">
        <f t="shared" si="1"/>
        <v>P2 - This week</v>
      </c>
      <c r="H167" s="4" t="s">
        <v>308</v>
      </c>
    </row>
    <row r="168" ht="15.75" customHeight="1">
      <c r="A168" s="2" t="s">
        <v>309</v>
      </c>
      <c r="B168" s="2" t="s">
        <v>9</v>
      </c>
      <c r="C168" s="2" t="s">
        <v>10</v>
      </c>
      <c r="D168" s="2" t="s">
        <v>11</v>
      </c>
      <c r="E168" s="2" t="s">
        <v>57</v>
      </c>
      <c r="F168" s="2" t="s">
        <v>21</v>
      </c>
      <c r="G168" s="3" t="str">
        <f t="shared" si="1"/>
        <v>P2 - This week</v>
      </c>
      <c r="H168" s="4" t="s">
        <v>242</v>
      </c>
    </row>
    <row r="169" ht="15.75" customHeight="1">
      <c r="A169" s="2" t="s">
        <v>310</v>
      </c>
      <c r="B169" s="2" t="s">
        <v>9</v>
      </c>
      <c r="C169" s="2" t="s">
        <v>10</v>
      </c>
      <c r="D169" s="2" t="s">
        <v>11</v>
      </c>
      <c r="E169" s="2" t="s">
        <v>57</v>
      </c>
      <c r="F169" s="2" t="s">
        <v>21</v>
      </c>
      <c r="G169" s="3" t="str">
        <f t="shared" si="1"/>
        <v>P2 - This week</v>
      </c>
      <c r="H169" s="4" t="s">
        <v>311</v>
      </c>
    </row>
    <row r="170" ht="15.75" customHeight="1">
      <c r="A170" s="2" t="s">
        <v>312</v>
      </c>
      <c r="B170" s="2" t="s">
        <v>9</v>
      </c>
      <c r="C170" s="2" t="s">
        <v>10</v>
      </c>
      <c r="D170" s="2" t="s">
        <v>11</v>
      </c>
      <c r="E170" s="2" t="s">
        <v>57</v>
      </c>
      <c r="F170" s="2" t="s">
        <v>21</v>
      </c>
      <c r="G170" s="3" t="str">
        <f t="shared" si="1"/>
        <v>P2 - This week</v>
      </c>
      <c r="H170" s="4" t="s">
        <v>313</v>
      </c>
    </row>
    <row r="171" ht="15.75" customHeight="1">
      <c r="A171" s="2" t="s">
        <v>314</v>
      </c>
      <c r="B171" s="2" t="s">
        <v>9</v>
      </c>
      <c r="C171" s="2" t="s">
        <v>10</v>
      </c>
      <c r="D171" s="2" t="s">
        <v>11</v>
      </c>
      <c r="E171" s="2" t="s">
        <v>57</v>
      </c>
      <c r="F171" s="2" t="s">
        <v>21</v>
      </c>
      <c r="G171" s="3" t="str">
        <f t="shared" si="1"/>
        <v>P2 - This week</v>
      </c>
      <c r="H171" s="4" t="s">
        <v>315</v>
      </c>
    </row>
    <row r="172" ht="15.75" customHeight="1">
      <c r="A172" s="2" t="s">
        <v>316</v>
      </c>
      <c r="B172" s="2" t="s">
        <v>9</v>
      </c>
      <c r="C172" s="2" t="s">
        <v>10</v>
      </c>
      <c r="D172" s="2" t="s">
        <v>11</v>
      </c>
      <c r="E172" s="2" t="s">
        <v>57</v>
      </c>
      <c r="F172" s="2" t="s">
        <v>21</v>
      </c>
      <c r="G172" s="3" t="str">
        <f t="shared" si="1"/>
        <v>P2 - This week</v>
      </c>
      <c r="H172" s="4" t="s">
        <v>317</v>
      </c>
    </row>
    <row r="173" ht="15.75" customHeight="1">
      <c r="A173" s="2" t="s">
        <v>318</v>
      </c>
      <c r="B173" s="2" t="s">
        <v>9</v>
      </c>
      <c r="C173" s="2" t="s">
        <v>10</v>
      </c>
      <c r="D173" s="2" t="s">
        <v>11</v>
      </c>
      <c r="E173" s="2" t="s">
        <v>57</v>
      </c>
      <c r="F173" s="2" t="s">
        <v>21</v>
      </c>
      <c r="G173" s="3" t="str">
        <f t="shared" si="1"/>
        <v>P2 - This week</v>
      </c>
      <c r="H173" s="4" t="s">
        <v>101</v>
      </c>
    </row>
    <row r="174" ht="15.75" customHeight="1">
      <c r="A174" s="2" t="s">
        <v>319</v>
      </c>
      <c r="B174" s="2" t="s">
        <v>9</v>
      </c>
      <c r="C174" s="2" t="s">
        <v>10</v>
      </c>
      <c r="D174" s="2" t="s">
        <v>11</v>
      </c>
      <c r="E174" s="2" t="s">
        <v>57</v>
      </c>
      <c r="F174" s="2" t="s">
        <v>21</v>
      </c>
      <c r="G174" s="3" t="str">
        <f t="shared" si="1"/>
        <v>P2 - This week</v>
      </c>
      <c r="H174" s="4" t="s">
        <v>320</v>
      </c>
    </row>
    <row r="175" ht="15.75" customHeight="1">
      <c r="A175" s="2" t="s">
        <v>321</v>
      </c>
      <c r="B175" s="2" t="s">
        <v>9</v>
      </c>
      <c r="C175" s="2" t="s">
        <v>10</v>
      </c>
      <c r="D175" s="2" t="s">
        <v>11</v>
      </c>
      <c r="E175" s="2" t="s">
        <v>57</v>
      </c>
      <c r="F175" s="2" t="s">
        <v>21</v>
      </c>
      <c r="G175" s="3" t="str">
        <f t="shared" si="1"/>
        <v>P2 - This week</v>
      </c>
      <c r="H175" s="4" t="s">
        <v>315</v>
      </c>
    </row>
    <row r="176" ht="15.75" customHeight="1">
      <c r="A176" s="2" t="s">
        <v>322</v>
      </c>
      <c r="B176" s="2" t="s">
        <v>9</v>
      </c>
      <c r="C176" s="2" t="s">
        <v>10</v>
      </c>
      <c r="D176" s="2" t="s">
        <v>11</v>
      </c>
      <c r="E176" s="2" t="s">
        <v>57</v>
      </c>
      <c r="F176" s="2" t="s">
        <v>21</v>
      </c>
      <c r="G176" s="3" t="str">
        <f t="shared" si="1"/>
        <v>P2 - This week</v>
      </c>
      <c r="H176" s="4" t="s">
        <v>323</v>
      </c>
    </row>
    <row r="177" ht="15.75" customHeight="1">
      <c r="A177" s="2" t="s">
        <v>324</v>
      </c>
      <c r="B177" s="2" t="s">
        <v>9</v>
      </c>
      <c r="C177" s="2" t="s">
        <v>10</v>
      </c>
      <c r="D177" s="2" t="s">
        <v>11</v>
      </c>
      <c r="E177" s="2" t="s">
        <v>57</v>
      </c>
      <c r="F177" s="2" t="s">
        <v>21</v>
      </c>
      <c r="G177" s="3" t="str">
        <f t="shared" si="1"/>
        <v>P2 - This week</v>
      </c>
      <c r="H177" s="4" t="s">
        <v>325</v>
      </c>
    </row>
    <row r="178" ht="15.75" customHeight="1">
      <c r="A178" s="2" t="s">
        <v>326</v>
      </c>
      <c r="B178" s="2" t="s">
        <v>9</v>
      </c>
      <c r="C178" s="2" t="s">
        <v>10</v>
      </c>
      <c r="D178" s="2" t="s">
        <v>11</v>
      </c>
      <c r="E178" s="2" t="s">
        <v>57</v>
      </c>
      <c r="F178" s="2" t="s">
        <v>21</v>
      </c>
      <c r="G178" s="3" t="str">
        <f t="shared" si="1"/>
        <v>P2 - This week</v>
      </c>
      <c r="H178" s="4" t="s">
        <v>89</v>
      </c>
    </row>
    <row r="179" ht="15.75" customHeight="1">
      <c r="A179" s="2" t="s">
        <v>327</v>
      </c>
      <c r="B179" s="2" t="s">
        <v>9</v>
      </c>
      <c r="C179" s="2" t="s">
        <v>10</v>
      </c>
      <c r="D179" s="2" t="s">
        <v>11</v>
      </c>
      <c r="E179" s="2" t="s">
        <v>57</v>
      </c>
      <c r="F179" s="2" t="s">
        <v>21</v>
      </c>
      <c r="G179" s="3" t="str">
        <f t="shared" si="1"/>
        <v>P2 - This week</v>
      </c>
      <c r="H179" s="4" t="s">
        <v>89</v>
      </c>
    </row>
    <row r="180" ht="15.75" customHeight="1">
      <c r="A180" s="2" t="s">
        <v>328</v>
      </c>
      <c r="B180" s="2" t="s">
        <v>9</v>
      </c>
      <c r="C180" s="2" t="s">
        <v>10</v>
      </c>
      <c r="D180" s="2" t="s">
        <v>11</v>
      </c>
      <c r="E180" s="2" t="s">
        <v>57</v>
      </c>
      <c r="F180" s="2" t="s">
        <v>21</v>
      </c>
      <c r="G180" s="3" t="str">
        <f t="shared" si="1"/>
        <v>P2 - This week</v>
      </c>
      <c r="H180" s="4" t="s">
        <v>89</v>
      </c>
    </row>
    <row r="181" ht="15.75" customHeight="1">
      <c r="A181" s="2" t="s">
        <v>329</v>
      </c>
      <c r="B181" s="2" t="s">
        <v>9</v>
      </c>
      <c r="C181" s="2" t="s">
        <v>10</v>
      </c>
      <c r="D181" s="2" t="s">
        <v>11</v>
      </c>
      <c r="E181" s="2" t="s">
        <v>57</v>
      </c>
      <c r="F181" s="2" t="s">
        <v>21</v>
      </c>
      <c r="G181" s="3" t="str">
        <f t="shared" si="1"/>
        <v>P2 - This week</v>
      </c>
      <c r="H181" s="4" t="s">
        <v>330</v>
      </c>
    </row>
    <row r="182" ht="15.75" customHeight="1">
      <c r="A182" s="2" t="s">
        <v>331</v>
      </c>
      <c r="B182" s="2" t="s">
        <v>9</v>
      </c>
      <c r="C182" s="2" t="s">
        <v>10</v>
      </c>
      <c r="D182" s="2" t="s">
        <v>11</v>
      </c>
      <c r="E182" s="2" t="s">
        <v>57</v>
      </c>
      <c r="F182" s="2" t="s">
        <v>21</v>
      </c>
      <c r="G182" s="3" t="str">
        <f t="shared" si="1"/>
        <v>P2 - This week</v>
      </c>
      <c r="H182" s="4" t="s">
        <v>332</v>
      </c>
    </row>
    <row r="183" ht="15.75" customHeight="1">
      <c r="A183" s="2" t="s">
        <v>333</v>
      </c>
      <c r="B183" s="2" t="s">
        <v>9</v>
      </c>
      <c r="C183" s="2" t="s">
        <v>10</v>
      </c>
      <c r="D183" s="2" t="s">
        <v>11</v>
      </c>
      <c r="E183" s="2" t="s">
        <v>57</v>
      </c>
      <c r="F183" s="2" t="s">
        <v>21</v>
      </c>
      <c r="G183" s="3" t="str">
        <f t="shared" si="1"/>
        <v>P2 - This week</v>
      </c>
      <c r="H183" s="4" t="s">
        <v>311</v>
      </c>
    </row>
    <row r="184" ht="15.75" customHeight="1">
      <c r="A184" s="2" t="s">
        <v>334</v>
      </c>
      <c r="B184" s="2" t="s">
        <v>9</v>
      </c>
      <c r="C184" s="2" t="s">
        <v>10</v>
      </c>
      <c r="D184" s="2" t="s">
        <v>11</v>
      </c>
      <c r="E184" s="2" t="s">
        <v>57</v>
      </c>
      <c r="F184" s="2" t="s">
        <v>21</v>
      </c>
      <c r="G184" s="3" t="str">
        <f t="shared" si="1"/>
        <v>P2 - This week</v>
      </c>
      <c r="H184" s="4" t="s">
        <v>335</v>
      </c>
    </row>
    <row r="185" ht="15.75" customHeight="1">
      <c r="A185" s="2" t="s">
        <v>336</v>
      </c>
      <c r="B185" s="2" t="s">
        <v>9</v>
      </c>
      <c r="C185" s="2" t="s">
        <v>10</v>
      </c>
      <c r="D185" s="2" t="s">
        <v>11</v>
      </c>
      <c r="E185" s="2" t="s">
        <v>57</v>
      </c>
      <c r="F185" s="2" t="s">
        <v>21</v>
      </c>
      <c r="G185" s="3" t="str">
        <f t="shared" si="1"/>
        <v>P2 - This week</v>
      </c>
      <c r="H185" s="4" t="s">
        <v>185</v>
      </c>
    </row>
    <row r="186" ht="15.75" customHeight="1">
      <c r="A186" s="2" t="s">
        <v>337</v>
      </c>
      <c r="B186" s="2" t="s">
        <v>9</v>
      </c>
      <c r="C186" s="2" t="s">
        <v>10</v>
      </c>
      <c r="D186" s="2" t="s">
        <v>11</v>
      </c>
      <c r="E186" s="2" t="s">
        <v>57</v>
      </c>
      <c r="F186" s="2" t="s">
        <v>21</v>
      </c>
      <c r="G186" s="3" t="str">
        <f t="shared" si="1"/>
        <v>P2 - This week</v>
      </c>
      <c r="H186" s="4" t="s">
        <v>338</v>
      </c>
    </row>
    <row r="187" ht="15.75" customHeight="1">
      <c r="A187" s="2" t="s">
        <v>339</v>
      </c>
      <c r="B187" s="2" t="s">
        <v>9</v>
      </c>
      <c r="C187" s="2" t="s">
        <v>10</v>
      </c>
      <c r="D187" s="2" t="s">
        <v>11</v>
      </c>
      <c r="E187" s="2" t="s">
        <v>57</v>
      </c>
      <c r="F187" s="2" t="s">
        <v>21</v>
      </c>
      <c r="G187" s="3" t="str">
        <f t="shared" si="1"/>
        <v>P2 - This week</v>
      </c>
      <c r="H187" s="4" t="s">
        <v>340</v>
      </c>
    </row>
    <row r="188" ht="15.75" customHeight="1">
      <c r="A188" s="2" t="s">
        <v>341</v>
      </c>
      <c r="B188" s="2" t="s">
        <v>9</v>
      </c>
      <c r="C188" s="2" t="s">
        <v>10</v>
      </c>
      <c r="D188" s="2" t="s">
        <v>11</v>
      </c>
      <c r="E188" s="2" t="s">
        <v>57</v>
      </c>
      <c r="F188" s="2" t="s">
        <v>21</v>
      </c>
      <c r="G188" s="3" t="str">
        <f t="shared" si="1"/>
        <v>P2 - This week</v>
      </c>
      <c r="H188" s="4" t="s">
        <v>89</v>
      </c>
    </row>
    <row r="189" ht="15.75" customHeight="1">
      <c r="A189" s="2" t="s">
        <v>342</v>
      </c>
      <c r="B189" s="2" t="s">
        <v>9</v>
      </c>
      <c r="C189" s="2" t="s">
        <v>10</v>
      </c>
      <c r="D189" s="2" t="s">
        <v>11</v>
      </c>
      <c r="E189" s="2" t="s">
        <v>57</v>
      </c>
      <c r="F189" s="2" t="s">
        <v>21</v>
      </c>
      <c r="G189" s="3" t="str">
        <f t="shared" si="1"/>
        <v>P2 - This week</v>
      </c>
      <c r="H189" s="4" t="s">
        <v>343</v>
      </c>
    </row>
    <row r="190" ht="15.75" customHeight="1">
      <c r="A190" s="2" t="s">
        <v>344</v>
      </c>
      <c r="B190" s="2" t="s">
        <v>9</v>
      </c>
      <c r="C190" s="2" t="s">
        <v>10</v>
      </c>
      <c r="D190" s="2" t="s">
        <v>11</v>
      </c>
      <c r="E190" s="2" t="s">
        <v>57</v>
      </c>
      <c r="F190" s="2" t="s">
        <v>21</v>
      </c>
      <c r="G190" s="3" t="str">
        <f t="shared" si="1"/>
        <v>P2 - This week</v>
      </c>
      <c r="H190" s="4" t="s">
        <v>343</v>
      </c>
    </row>
    <row r="191" ht="15.75" customHeight="1">
      <c r="A191" s="2" t="s">
        <v>345</v>
      </c>
      <c r="B191" s="2" t="s">
        <v>9</v>
      </c>
      <c r="C191" s="2" t="s">
        <v>10</v>
      </c>
      <c r="D191" s="2" t="s">
        <v>11</v>
      </c>
      <c r="E191" s="2" t="s">
        <v>57</v>
      </c>
      <c r="F191" s="2" t="s">
        <v>21</v>
      </c>
      <c r="G191" s="3" t="str">
        <f t="shared" si="1"/>
        <v>P2 - This week</v>
      </c>
      <c r="H191" s="4" t="s">
        <v>343</v>
      </c>
    </row>
    <row r="192" ht="15.75" customHeight="1">
      <c r="A192" s="2" t="s">
        <v>346</v>
      </c>
      <c r="B192" s="2" t="s">
        <v>9</v>
      </c>
      <c r="C192" s="2" t="s">
        <v>10</v>
      </c>
      <c r="D192" s="2" t="s">
        <v>11</v>
      </c>
      <c r="E192" s="2" t="s">
        <v>57</v>
      </c>
      <c r="F192" s="2" t="s">
        <v>21</v>
      </c>
      <c r="G192" s="3" t="str">
        <f t="shared" si="1"/>
        <v>P2 - This week</v>
      </c>
      <c r="H192" s="4" t="s">
        <v>185</v>
      </c>
    </row>
    <row r="193" ht="15.75" customHeight="1">
      <c r="A193" s="2" t="s">
        <v>347</v>
      </c>
      <c r="B193" s="2" t="s">
        <v>9</v>
      </c>
      <c r="C193" s="2" t="s">
        <v>10</v>
      </c>
      <c r="D193" s="2" t="s">
        <v>11</v>
      </c>
      <c r="E193" s="2" t="s">
        <v>57</v>
      </c>
      <c r="F193" s="2" t="s">
        <v>21</v>
      </c>
      <c r="G193" s="3" t="str">
        <f t="shared" si="1"/>
        <v>P2 - This week</v>
      </c>
      <c r="H193" s="4" t="s">
        <v>311</v>
      </c>
    </row>
    <row r="194" ht="15.75" customHeight="1">
      <c r="A194" s="2" t="s">
        <v>348</v>
      </c>
      <c r="B194" s="2" t="s">
        <v>9</v>
      </c>
      <c r="C194" s="2" t="s">
        <v>10</v>
      </c>
      <c r="D194" s="2" t="s">
        <v>11</v>
      </c>
      <c r="E194" s="2" t="s">
        <v>57</v>
      </c>
      <c r="F194" s="2" t="s">
        <v>21</v>
      </c>
      <c r="G194" s="3" t="str">
        <f t="shared" si="1"/>
        <v>P2 - This week</v>
      </c>
      <c r="H194" s="4" t="s">
        <v>349</v>
      </c>
    </row>
    <row r="195" ht="15.75" customHeight="1">
      <c r="A195" s="2" t="s">
        <v>350</v>
      </c>
      <c r="B195" s="2" t="s">
        <v>9</v>
      </c>
      <c r="C195" s="2" t="s">
        <v>10</v>
      </c>
      <c r="D195" s="2" t="s">
        <v>11</v>
      </c>
      <c r="E195" s="2" t="s">
        <v>57</v>
      </c>
      <c r="F195" s="2" t="s">
        <v>21</v>
      </c>
      <c r="G195" s="3" t="str">
        <f t="shared" si="1"/>
        <v>P2 - This week</v>
      </c>
      <c r="H195" s="4" t="s">
        <v>150</v>
      </c>
    </row>
    <row r="196" ht="15.75" customHeight="1">
      <c r="A196" s="2" t="s">
        <v>351</v>
      </c>
      <c r="B196" s="2" t="s">
        <v>9</v>
      </c>
      <c r="C196" s="2" t="s">
        <v>10</v>
      </c>
      <c r="D196" s="2" t="s">
        <v>11</v>
      </c>
      <c r="E196" s="2" t="s">
        <v>57</v>
      </c>
      <c r="F196" s="2" t="s">
        <v>21</v>
      </c>
      <c r="G196" s="3" t="str">
        <f t="shared" si="1"/>
        <v>P2 - This week</v>
      </c>
      <c r="H196" s="4" t="s">
        <v>352</v>
      </c>
    </row>
    <row r="197" ht="15.75" customHeight="1">
      <c r="A197" s="2" t="s">
        <v>353</v>
      </c>
      <c r="B197" s="2" t="s">
        <v>9</v>
      </c>
      <c r="C197" s="2" t="s">
        <v>10</v>
      </c>
      <c r="D197" s="2" t="s">
        <v>11</v>
      </c>
      <c r="E197" s="2" t="s">
        <v>57</v>
      </c>
      <c r="F197" s="2" t="s">
        <v>21</v>
      </c>
      <c r="G197" s="3" t="str">
        <f t="shared" si="1"/>
        <v>P2 - This week</v>
      </c>
      <c r="H197" s="4" t="s">
        <v>349</v>
      </c>
    </row>
    <row r="198" ht="15.75" customHeight="1">
      <c r="A198" s="2" t="s">
        <v>354</v>
      </c>
      <c r="B198" s="2" t="s">
        <v>9</v>
      </c>
      <c r="C198" s="2" t="s">
        <v>10</v>
      </c>
      <c r="D198" s="2" t="s">
        <v>11</v>
      </c>
      <c r="E198" s="2" t="s">
        <v>57</v>
      </c>
      <c r="F198" s="2" t="s">
        <v>21</v>
      </c>
      <c r="G198" s="3" t="str">
        <f t="shared" si="1"/>
        <v>P2 - This week</v>
      </c>
      <c r="H198" s="4" t="s">
        <v>355</v>
      </c>
    </row>
    <row r="199" ht="15.75" customHeight="1">
      <c r="A199" s="2" t="s">
        <v>356</v>
      </c>
      <c r="B199" s="2" t="s">
        <v>9</v>
      </c>
      <c r="C199" s="2" t="s">
        <v>10</v>
      </c>
      <c r="D199" s="2" t="s">
        <v>11</v>
      </c>
      <c r="E199" s="2" t="s">
        <v>57</v>
      </c>
      <c r="F199" s="2" t="s">
        <v>21</v>
      </c>
      <c r="G199" s="3" t="str">
        <f t="shared" si="1"/>
        <v>P2 - This week</v>
      </c>
      <c r="H199" s="4" t="s">
        <v>357</v>
      </c>
    </row>
    <row r="200" ht="15.75" customHeight="1">
      <c r="A200" s="2" t="s">
        <v>358</v>
      </c>
      <c r="B200" s="2" t="s">
        <v>9</v>
      </c>
      <c r="C200" s="2" t="s">
        <v>10</v>
      </c>
      <c r="D200" s="2" t="s">
        <v>11</v>
      </c>
      <c r="E200" s="2" t="s">
        <v>57</v>
      </c>
      <c r="F200" s="2" t="s">
        <v>21</v>
      </c>
      <c r="G200" s="3" t="str">
        <f t="shared" si="1"/>
        <v>P2 - This week</v>
      </c>
      <c r="H200" s="4" t="s">
        <v>359</v>
      </c>
    </row>
    <row r="201" ht="15.75" customHeight="1">
      <c r="A201" s="2" t="s">
        <v>360</v>
      </c>
      <c r="B201" s="2" t="s">
        <v>9</v>
      </c>
      <c r="C201" s="2" t="s">
        <v>10</v>
      </c>
      <c r="D201" s="2" t="s">
        <v>11</v>
      </c>
      <c r="E201" s="2" t="s">
        <v>57</v>
      </c>
      <c r="F201" s="2" t="s">
        <v>21</v>
      </c>
      <c r="G201" s="3" t="str">
        <f t="shared" si="1"/>
        <v>P2 - This week</v>
      </c>
      <c r="H201" s="4" t="s">
        <v>361</v>
      </c>
    </row>
    <row r="202" ht="15.75" customHeight="1">
      <c r="A202" s="2" t="s">
        <v>362</v>
      </c>
      <c r="B202" s="2" t="s">
        <v>9</v>
      </c>
      <c r="C202" s="2" t="s">
        <v>10</v>
      </c>
      <c r="D202" s="2" t="s">
        <v>11</v>
      </c>
      <c r="E202" s="2" t="s">
        <v>57</v>
      </c>
      <c r="F202" s="2" t="s">
        <v>21</v>
      </c>
      <c r="G202" s="3" t="str">
        <f t="shared" si="1"/>
        <v>P2 - This week</v>
      </c>
      <c r="H202" s="4" t="s">
        <v>363</v>
      </c>
    </row>
    <row r="203" ht="15.75" customHeight="1">
      <c r="A203" s="2" t="s">
        <v>364</v>
      </c>
      <c r="B203" s="2" t="s">
        <v>9</v>
      </c>
      <c r="C203" s="2" t="s">
        <v>10</v>
      </c>
      <c r="D203" s="2" t="s">
        <v>11</v>
      </c>
      <c r="E203" s="2" t="s">
        <v>57</v>
      </c>
      <c r="F203" s="2" t="s">
        <v>21</v>
      </c>
      <c r="G203" s="3" t="str">
        <f t="shared" si="1"/>
        <v>P2 - This week</v>
      </c>
      <c r="H203" s="4" t="s">
        <v>101</v>
      </c>
    </row>
    <row r="204" ht="15.75" customHeight="1">
      <c r="A204" s="2" t="s">
        <v>365</v>
      </c>
      <c r="B204" s="2" t="s">
        <v>9</v>
      </c>
      <c r="C204" s="2" t="s">
        <v>10</v>
      </c>
      <c r="D204" s="2" t="s">
        <v>11</v>
      </c>
      <c r="E204" s="2" t="s">
        <v>57</v>
      </c>
      <c r="F204" s="2" t="s">
        <v>21</v>
      </c>
      <c r="G204" s="3" t="str">
        <f t="shared" si="1"/>
        <v>P2 - This week</v>
      </c>
      <c r="H204" s="4" t="s">
        <v>366</v>
      </c>
    </row>
    <row r="205" ht="15.75" customHeight="1">
      <c r="A205" s="2" t="s">
        <v>367</v>
      </c>
      <c r="B205" s="2" t="s">
        <v>9</v>
      </c>
      <c r="C205" s="2" t="s">
        <v>10</v>
      </c>
      <c r="D205" s="2" t="s">
        <v>11</v>
      </c>
      <c r="E205" s="2" t="s">
        <v>57</v>
      </c>
      <c r="F205" s="2" t="s">
        <v>21</v>
      </c>
      <c r="G205" s="3" t="str">
        <f t="shared" si="1"/>
        <v>P2 - This week</v>
      </c>
      <c r="H205" s="4" t="s">
        <v>91</v>
      </c>
    </row>
    <row r="206" ht="15.75" customHeight="1">
      <c r="A206" s="2" t="s">
        <v>368</v>
      </c>
      <c r="B206" s="2" t="s">
        <v>9</v>
      </c>
      <c r="C206" s="2" t="s">
        <v>10</v>
      </c>
      <c r="D206" s="2" t="s">
        <v>11</v>
      </c>
      <c r="E206" s="2" t="s">
        <v>57</v>
      </c>
      <c r="F206" s="2" t="s">
        <v>21</v>
      </c>
      <c r="G206" s="3" t="str">
        <f t="shared" si="1"/>
        <v>P2 - This week</v>
      </c>
      <c r="H206" s="4" t="s">
        <v>369</v>
      </c>
    </row>
    <row r="207" ht="15.75" customHeight="1">
      <c r="A207" s="2" t="s">
        <v>370</v>
      </c>
      <c r="B207" s="2" t="s">
        <v>9</v>
      </c>
      <c r="C207" s="2" t="s">
        <v>10</v>
      </c>
      <c r="D207" s="2" t="s">
        <v>11</v>
      </c>
      <c r="E207" s="2" t="s">
        <v>57</v>
      </c>
      <c r="F207" s="2" t="s">
        <v>21</v>
      </c>
      <c r="G207" s="3" t="str">
        <f t="shared" si="1"/>
        <v>P2 - This week</v>
      </c>
      <c r="H207" s="4" t="s">
        <v>371</v>
      </c>
    </row>
    <row r="208" ht="15.75" customHeight="1">
      <c r="A208" s="2" t="s">
        <v>372</v>
      </c>
      <c r="B208" s="2" t="s">
        <v>9</v>
      </c>
      <c r="C208" s="2" t="s">
        <v>10</v>
      </c>
      <c r="D208" s="2" t="s">
        <v>11</v>
      </c>
      <c r="E208" s="2" t="s">
        <v>57</v>
      </c>
      <c r="F208" s="2" t="s">
        <v>21</v>
      </c>
      <c r="G208" s="3" t="str">
        <f t="shared" si="1"/>
        <v>P2 - This week</v>
      </c>
      <c r="H208" s="4" t="s">
        <v>91</v>
      </c>
    </row>
    <row r="209" ht="15.75" customHeight="1">
      <c r="A209" s="2" t="s">
        <v>373</v>
      </c>
      <c r="B209" s="2" t="s">
        <v>9</v>
      </c>
      <c r="C209" s="2" t="s">
        <v>10</v>
      </c>
      <c r="D209" s="2" t="s">
        <v>11</v>
      </c>
      <c r="E209" s="2" t="s">
        <v>57</v>
      </c>
      <c r="F209" s="2" t="s">
        <v>21</v>
      </c>
      <c r="G209" s="3" t="str">
        <f t="shared" si="1"/>
        <v>P2 - This week</v>
      </c>
      <c r="H209" s="4" t="s">
        <v>91</v>
      </c>
    </row>
    <row r="210" ht="15.75" customHeight="1">
      <c r="A210" s="2" t="s">
        <v>374</v>
      </c>
      <c r="B210" s="2" t="s">
        <v>9</v>
      </c>
      <c r="C210" s="2" t="s">
        <v>10</v>
      </c>
      <c r="D210" s="2" t="s">
        <v>11</v>
      </c>
      <c r="E210" s="2" t="s">
        <v>57</v>
      </c>
      <c r="F210" s="2" t="s">
        <v>21</v>
      </c>
      <c r="G210" s="3" t="str">
        <f t="shared" si="1"/>
        <v>P2 - This week</v>
      </c>
      <c r="H210" s="4" t="s">
        <v>375</v>
      </c>
    </row>
    <row r="211" ht="15.75" customHeight="1">
      <c r="A211" s="2" t="s">
        <v>376</v>
      </c>
      <c r="B211" s="2" t="s">
        <v>9</v>
      </c>
      <c r="C211" s="2" t="s">
        <v>10</v>
      </c>
      <c r="D211" s="2" t="s">
        <v>11</v>
      </c>
      <c r="E211" s="2" t="s">
        <v>57</v>
      </c>
      <c r="F211" s="2" t="s">
        <v>21</v>
      </c>
      <c r="G211" s="3" t="str">
        <f t="shared" si="1"/>
        <v>P2 - This week</v>
      </c>
      <c r="H211" s="4" t="s">
        <v>377</v>
      </c>
    </row>
    <row r="212" ht="15.75" customHeight="1">
      <c r="A212" s="2" t="s">
        <v>378</v>
      </c>
      <c r="B212" s="2" t="s">
        <v>9</v>
      </c>
      <c r="C212" s="2" t="s">
        <v>10</v>
      </c>
      <c r="D212" s="2" t="s">
        <v>11</v>
      </c>
      <c r="E212" s="2" t="s">
        <v>57</v>
      </c>
      <c r="F212" s="2" t="s">
        <v>21</v>
      </c>
      <c r="G212" s="3" t="str">
        <f t="shared" si="1"/>
        <v>P2 - This week</v>
      </c>
      <c r="H212" s="4" t="s">
        <v>379</v>
      </c>
    </row>
    <row r="213" ht="15.75" customHeight="1">
      <c r="A213" s="2" t="s">
        <v>380</v>
      </c>
      <c r="B213" s="2" t="s">
        <v>9</v>
      </c>
      <c r="C213" s="2" t="s">
        <v>10</v>
      </c>
      <c r="D213" s="2" t="s">
        <v>11</v>
      </c>
      <c r="E213" s="2" t="s">
        <v>57</v>
      </c>
      <c r="F213" s="2" t="s">
        <v>21</v>
      </c>
      <c r="G213" s="3" t="str">
        <f t="shared" si="1"/>
        <v>P2 - This week</v>
      </c>
      <c r="H213" s="4" t="s">
        <v>381</v>
      </c>
    </row>
    <row r="214" ht="15.75" customHeight="1">
      <c r="A214" s="2" t="s">
        <v>382</v>
      </c>
      <c r="B214" s="2" t="s">
        <v>9</v>
      </c>
      <c r="C214" s="2" t="s">
        <v>10</v>
      </c>
      <c r="D214" s="2" t="s">
        <v>11</v>
      </c>
      <c r="E214" s="2" t="s">
        <v>57</v>
      </c>
      <c r="F214" s="2" t="s">
        <v>21</v>
      </c>
      <c r="G214" s="3" t="str">
        <f t="shared" si="1"/>
        <v>P2 - This week</v>
      </c>
      <c r="H214" s="4" t="s">
        <v>311</v>
      </c>
    </row>
    <row r="215" ht="15.75" customHeight="1">
      <c r="A215" s="2" t="s">
        <v>383</v>
      </c>
      <c r="B215" s="2" t="s">
        <v>9</v>
      </c>
      <c r="C215" s="2" t="s">
        <v>10</v>
      </c>
      <c r="D215" s="2" t="s">
        <v>11</v>
      </c>
      <c r="E215" s="2" t="s">
        <v>57</v>
      </c>
      <c r="F215" s="2" t="s">
        <v>21</v>
      </c>
      <c r="G215" s="3" t="str">
        <f t="shared" si="1"/>
        <v>P2 - This week</v>
      </c>
      <c r="H215" s="4" t="s">
        <v>384</v>
      </c>
    </row>
    <row r="216" ht="15.75" customHeight="1">
      <c r="A216" s="2" t="s">
        <v>385</v>
      </c>
      <c r="B216" s="2" t="s">
        <v>9</v>
      </c>
      <c r="C216" s="2" t="s">
        <v>10</v>
      </c>
      <c r="D216" s="2" t="s">
        <v>11</v>
      </c>
      <c r="E216" s="2" t="s">
        <v>57</v>
      </c>
      <c r="F216" s="2" t="s">
        <v>21</v>
      </c>
      <c r="G216" s="3" t="str">
        <f t="shared" si="1"/>
        <v>P2 - This week</v>
      </c>
      <c r="H216" s="4" t="s">
        <v>313</v>
      </c>
    </row>
    <row r="217" ht="15.75" customHeight="1">
      <c r="A217" s="2" t="s">
        <v>386</v>
      </c>
      <c r="B217" s="2" t="s">
        <v>9</v>
      </c>
      <c r="C217" s="2" t="s">
        <v>10</v>
      </c>
      <c r="D217" s="2" t="s">
        <v>11</v>
      </c>
      <c r="E217" s="2" t="s">
        <v>57</v>
      </c>
      <c r="F217" s="2" t="s">
        <v>21</v>
      </c>
      <c r="G217" s="3" t="str">
        <f t="shared" si="1"/>
        <v>P2 - This week</v>
      </c>
      <c r="H217" s="4" t="s">
        <v>387</v>
      </c>
    </row>
    <row r="218" ht="15.75" customHeight="1">
      <c r="A218" s="2" t="s">
        <v>388</v>
      </c>
      <c r="B218" s="2" t="s">
        <v>9</v>
      </c>
      <c r="C218" s="2" t="s">
        <v>10</v>
      </c>
      <c r="D218" s="2" t="s">
        <v>11</v>
      </c>
      <c r="E218" s="2" t="s">
        <v>57</v>
      </c>
      <c r="F218" s="2" t="s">
        <v>21</v>
      </c>
      <c r="G218" s="3" t="str">
        <f t="shared" si="1"/>
        <v>P2 - This week</v>
      </c>
      <c r="H218" s="4" t="s">
        <v>389</v>
      </c>
    </row>
    <row r="219" ht="15.75" customHeight="1">
      <c r="A219" s="2" t="s">
        <v>390</v>
      </c>
      <c r="B219" s="2" t="s">
        <v>9</v>
      </c>
      <c r="C219" s="2" t="s">
        <v>10</v>
      </c>
      <c r="D219" s="2" t="s">
        <v>11</v>
      </c>
      <c r="E219" s="2" t="s">
        <v>57</v>
      </c>
      <c r="F219" s="2" t="s">
        <v>21</v>
      </c>
      <c r="G219" s="3" t="str">
        <f t="shared" si="1"/>
        <v>P2 - This week</v>
      </c>
      <c r="H219" s="4" t="s">
        <v>106</v>
      </c>
    </row>
    <row r="220" ht="15.75" customHeight="1">
      <c r="A220" s="2" t="s">
        <v>391</v>
      </c>
      <c r="B220" s="2" t="s">
        <v>9</v>
      </c>
      <c r="C220" s="2" t="s">
        <v>10</v>
      </c>
      <c r="D220" s="2" t="s">
        <v>11</v>
      </c>
      <c r="E220" s="2" t="s">
        <v>57</v>
      </c>
      <c r="F220" s="2" t="s">
        <v>21</v>
      </c>
      <c r="G220" s="3" t="str">
        <f t="shared" si="1"/>
        <v>P2 - This week</v>
      </c>
      <c r="H220" s="4" t="s">
        <v>392</v>
      </c>
    </row>
    <row r="221" ht="15.75" customHeight="1">
      <c r="A221" s="2" t="s">
        <v>393</v>
      </c>
      <c r="B221" s="2" t="s">
        <v>9</v>
      </c>
      <c r="C221" s="2" t="s">
        <v>10</v>
      </c>
      <c r="D221" s="2" t="s">
        <v>11</v>
      </c>
      <c r="E221" s="2" t="s">
        <v>57</v>
      </c>
      <c r="F221" s="2" t="s">
        <v>21</v>
      </c>
      <c r="G221" s="3" t="str">
        <f t="shared" si="1"/>
        <v>P2 - This week</v>
      </c>
      <c r="H221" s="4" t="s">
        <v>394</v>
      </c>
    </row>
    <row r="222" ht="15.75" customHeight="1">
      <c r="A222" s="2" t="s">
        <v>395</v>
      </c>
      <c r="B222" s="2" t="s">
        <v>9</v>
      </c>
      <c r="C222" s="2" t="s">
        <v>10</v>
      </c>
      <c r="D222" s="2" t="s">
        <v>11</v>
      </c>
      <c r="E222" s="2" t="s">
        <v>57</v>
      </c>
      <c r="F222" s="2" t="s">
        <v>21</v>
      </c>
      <c r="G222" s="3" t="str">
        <f t="shared" si="1"/>
        <v>P2 - This week</v>
      </c>
      <c r="H222" s="4" t="s">
        <v>396</v>
      </c>
    </row>
    <row r="223" ht="15.75" customHeight="1">
      <c r="A223" s="2" t="s">
        <v>397</v>
      </c>
      <c r="B223" s="2" t="s">
        <v>9</v>
      </c>
      <c r="C223" s="2" t="s">
        <v>10</v>
      </c>
      <c r="D223" s="2" t="s">
        <v>11</v>
      </c>
      <c r="E223" s="2" t="s">
        <v>57</v>
      </c>
      <c r="F223" s="2" t="s">
        <v>21</v>
      </c>
      <c r="G223" s="3" t="str">
        <f t="shared" si="1"/>
        <v>P2 - This week</v>
      </c>
      <c r="H223" s="4" t="s">
        <v>343</v>
      </c>
    </row>
    <row r="224" ht="15.75" customHeight="1">
      <c r="A224" s="2" t="s">
        <v>398</v>
      </c>
      <c r="B224" s="2" t="s">
        <v>9</v>
      </c>
      <c r="C224" s="2" t="s">
        <v>10</v>
      </c>
      <c r="D224" s="2" t="s">
        <v>11</v>
      </c>
      <c r="E224" s="2" t="s">
        <v>57</v>
      </c>
      <c r="F224" s="2" t="s">
        <v>21</v>
      </c>
      <c r="G224" s="3" t="str">
        <f t="shared" si="1"/>
        <v>P2 - This week</v>
      </c>
      <c r="H224" s="4" t="s">
        <v>399</v>
      </c>
    </row>
    <row r="225" ht="15.75" customHeight="1">
      <c r="A225" s="2" t="s">
        <v>400</v>
      </c>
      <c r="B225" s="2" t="s">
        <v>9</v>
      </c>
      <c r="C225" s="2" t="s">
        <v>10</v>
      </c>
      <c r="D225" s="2" t="s">
        <v>11</v>
      </c>
      <c r="E225" s="2" t="s">
        <v>57</v>
      </c>
      <c r="F225" s="2" t="s">
        <v>21</v>
      </c>
      <c r="G225" s="3" t="str">
        <f t="shared" si="1"/>
        <v>P2 - This week</v>
      </c>
      <c r="H225" s="4" t="s">
        <v>401</v>
      </c>
    </row>
    <row r="226" ht="15.75" customHeight="1">
      <c r="A226" s="2" t="s">
        <v>402</v>
      </c>
      <c r="B226" s="2" t="s">
        <v>9</v>
      </c>
      <c r="C226" s="2" t="s">
        <v>10</v>
      </c>
      <c r="D226" s="2" t="s">
        <v>11</v>
      </c>
      <c r="E226" s="2" t="s">
        <v>57</v>
      </c>
      <c r="F226" s="2" t="s">
        <v>21</v>
      </c>
      <c r="G226" s="3" t="str">
        <f t="shared" si="1"/>
        <v>P2 - This week</v>
      </c>
      <c r="H226" s="4" t="s">
        <v>185</v>
      </c>
    </row>
    <row r="227" ht="15.75" customHeight="1">
      <c r="A227" s="2" t="s">
        <v>403</v>
      </c>
      <c r="B227" s="2" t="s">
        <v>9</v>
      </c>
      <c r="C227" s="2" t="s">
        <v>10</v>
      </c>
      <c r="D227" s="2" t="s">
        <v>11</v>
      </c>
      <c r="E227" s="2" t="s">
        <v>57</v>
      </c>
      <c r="F227" s="2" t="s">
        <v>21</v>
      </c>
      <c r="G227" s="3" t="str">
        <f t="shared" si="1"/>
        <v>P2 - This week</v>
      </c>
      <c r="H227" s="4" t="s">
        <v>404</v>
      </c>
    </row>
    <row r="228" ht="15.75" customHeight="1">
      <c r="A228" s="2" t="s">
        <v>405</v>
      </c>
      <c r="B228" s="2" t="s">
        <v>9</v>
      </c>
      <c r="C228" s="2" t="s">
        <v>10</v>
      </c>
      <c r="D228" s="2" t="s">
        <v>11</v>
      </c>
      <c r="E228" s="2" t="s">
        <v>57</v>
      </c>
      <c r="F228" s="2" t="s">
        <v>21</v>
      </c>
      <c r="G228" s="3" t="str">
        <f t="shared" si="1"/>
        <v>P2 - This week</v>
      </c>
      <c r="H228" s="4" t="s">
        <v>185</v>
      </c>
    </row>
    <row r="229" ht="15.75" customHeight="1">
      <c r="A229" s="2" t="s">
        <v>406</v>
      </c>
      <c r="B229" s="2" t="s">
        <v>9</v>
      </c>
      <c r="C229" s="2" t="s">
        <v>10</v>
      </c>
      <c r="D229" s="2" t="s">
        <v>11</v>
      </c>
      <c r="E229" s="2" t="s">
        <v>57</v>
      </c>
      <c r="F229" s="2" t="s">
        <v>21</v>
      </c>
      <c r="G229" s="3" t="str">
        <f t="shared" si="1"/>
        <v>P2 - This week</v>
      </c>
      <c r="H229" s="4" t="s">
        <v>359</v>
      </c>
    </row>
    <row r="230" ht="15.75" customHeight="1">
      <c r="A230" s="2" t="s">
        <v>407</v>
      </c>
      <c r="B230" s="2" t="s">
        <v>9</v>
      </c>
      <c r="C230" s="2" t="s">
        <v>10</v>
      </c>
      <c r="D230" s="2" t="s">
        <v>11</v>
      </c>
      <c r="E230" s="2" t="s">
        <v>57</v>
      </c>
      <c r="F230" s="2" t="s">
        <v>21</v>
      </c>
      <c r="G230" s="3" t="str">
        <f t="shared" si="1"/>
        <v>P2 - This week</v>
      </c>
      <c r="H230" s="4" t="s">
        <v>359</v>
      </c>
    </row>
    <row r="231" ht="15.75" customHeight="1">
      <c r="A231" s="2" t="s">
        <v>408</v>
      </c>
      <c r="B231" s="2" t="s">
        <v>9</v>
      </c>
      <c r="C231" s="2" t="s">
        <v>10</v>
      </c>
      <c r="D231" s="2" t="s">
        <v>11</v>
      </c>
      <c r="E231" s="2" t="s">
        <v>57</v>
      </c>
      <c r="F231" s="2" t="s">
        <v>21</v>
      </c>
      <c r="G231" s="3" t="str">
        <f t="shared" si="1"/>
        <v>P2 - This week</v>
      </c>
      <c r="H231" s="4" t="s">
        <v>409</v>
      </c>
    </row>
    <row r="232" ht="15.75" customHeight="1">
      <c r="A232" s="2" t="s">
        <v>410</v>
      </c>
      <c r="B232" s="2" t="s">
        <v>9</v>
      </c>
      <c r="C232" s="2" t="s">
        <v>10</v>
      </c>
      <c r="D232" s="2" t="s">
        <v>11</v>
      </c>
      <c r="E232" s="2" t="s">
        <v>57</v>
      </c>
      <c r="F232" s="2" t="s">
        <v>21</v>
      </c>
      <c r="G232" s="3" t="str">
        <f t="shared" si="1"/>
        <v>P2 - This week</v>
      </c>
      <c r="H232" s="4" t="s">
        <v>411</v>
      </c>
    </row>
    <row r="233" ht="15.75" customHeight="1">
      <c r="A233" s="2" t="s">
        <v>412</v>
      </c>
      <c r="B233" s="2" t="s">
        <v>9</v>
      </c>
      <c r="C233" s="2" t="s">
        <v>10</v>
      </c>
      <c r="D233" s="2" t="s">
        <v>11</v>
      </c>
      <c r="E233" s="2" t="s">
        <v>57</v>
      </c>
      <c r="F233" s="2" t="s">
        <v>21</v>
      </c>
      <c r="G233" s="3" t="str">
        <f t="shared" si="1"/>
        <v>P2 - This week</v>
      </c>
      <c r="H233" s="4" t="s">
        <v>359</v>
      </c>
    </row>
    <row r="234" ht="15.75" customHeight="1">
      <c r="A234" s="2" t="s">
        <v>413</v>
      </c>
      <c r="B234" s="2" t="s">
        <v>9</v>
      </c>
      <c r="C234" s="2" t="s">
        <v>10</v>
      </c>
      <c r="D234" s="2" t="s">
        <v>11</v>
      </c>
      <c r="E234" s="2" t="s">
        <v>57</v>
      </c>
      <c r="F234" s="2" t="s">
        <v>21</v>
      </c>
      <c r="G234" s="3" t="str">
        <f t="shared" si="1"/>
        <v>P2 - This week</v>
      </c>
      <c r="H234" s="4" t="s">
        <v>409</v>
      </c>
    </row>
    <row r="235" ht="15.75" customHeight="1">
      <c r="A235" s="2" t="s">
        <v>414</v>
      </c>
      <c r="B235" s="2" t="s">
        <v>9</v>
      </c>
      <c r="C235" s="2" t="s">
        <v>10</v>
      </c>
      <c r="D235" s="2" t="s">
        <v>11</v>
      </c>
      <c r="E235" s="2" t="s">
        <v>57</v>
      </c>
      <c r="F235" s="2" t="s">
        <v>21</v>
      </c>
      <c r="G235" s="3" t="str">
        <f t="shared" si="1"/>
        <v>P2 - This week</v>
      </c>
      <c r="H235" s="4" t="s">
        <v>415</v>
      </c>
    </row>
    <row r="236" ht="15.75" customHeight="1">
      <c r="A236" s="2" t="s">
        <v>416</v>
      </c>
      <c r="B236" s="2" t="s">
        <v>9</v>
      </c>
      <c r="C236" s="2" t="s">
        <v>10</v>
      </c>
      <c r="D236" s="2" t="s">
        <v>11</v>
      </c>
      <c r="E236" s="2" t="s">
        <v>57</v>
      </c>
      <c r="F236" s="2" t="s">
        <v>21</v>
      </c>
      <c r="G236" s="3" t="str">
        <f t="shared" si="1"/>
        <v>P2 - This week</v>
      </c>
      <c r="H236" s="4" t="s">
        <v>335</v>
      </c>
    </row>
    <row r="237" ht="15.75" customHeight="1">
      <c r="A237" s="2" t="s">
        <v>417</v>
      </c>
      <c r="B237" s="2" t="s">
        <v>9</v>
      </c>
      <c r="C237" s="2" t="s">
        <v>10</v>
      </c>
      <c r="D237" s="2" t="s">
        <v>11</v>
      </c>
      <c r="E237" s="2" t="s">
        <v>57</v>
      </c>
      <c r="F237" s="2" t="s">
        <v>21</v>
      </c>
      <c r="G237" s="3" t="str">
        <f t="shared" si="1"/>
        <v>P2 - This week</v>
      </c>
      <c r="H237" s="4" t="s">
        <v>418</v>
      </c>
    </row>
    <row r="238" ht="15.75" customHeight="1">
      <c r="A238" s="2" t="s">
        <v>419</v>
      </c>
      <c r="B238" s="2" t="s">
        <v>420</v>
      </c>
      <c r="C238" s="2" t="s">
        <v>36</v>
      </c>
      <c r="D238" s="2" t="s">
        <v>37</v>
      </c>
      <c r="E238" s="2" t="s">
        <v>57</v>
      </c>
      <c r="F238" s="2" t="s">
        <v>21</v>
      </c>
      <c r="G238" s="3" t="str">
        <f t="shared" si="1"/>
        <v>P2 - This week</v>
      </c>
      <c r="H238" s="4" t="s">
        <v>421</v>
      </c>
    </row>
    <row r="239" ht="15.75" customHeight="1">
      <c r="A239" s="2" t="s">
        <v>419</v>
      </c>
      <c r="B239" s="2" t="s">
        <v>422</v>
      </c>
      <c r="C239" s="2" t="s">
        <v>36</v>
      </c>
      <c r="D239" s="2" t="s">
        <v>37</v>
      </c>
      <c r="E239" s="2" t="s">
        <v>57</v>
      </c>
      <c r="F239" s="2" t="s">
        <v>21</v>
      </c>
      <c r="G239" s="3" t="str">
        <f t="shared" si="1"/>
        <v>P2 - This week</v>
      </c>
      <c r="H239" s="4" t="s">
        <v>421</v>
      </c>
    </row>
    <row r="240" ht="15.75" customHeight="1">
      <c r="A240" s="2" t="s">
        <v>419</v>
      </c>
      <c r="B240" s="2" t="s">
        <v>423</v>
      </c>
      <c r="C240" s="2" t="s">
        <v>36</v>
      </c>
      <c r="D240" s="2" t="s">
        <v>37</v>
      </c>
      <c r="E240" s="2" t="s">
        <v>57</v>
      </c>
      <c r="F240" s="2" t="s">
        <v>21</v>
      </c>
      <c r="G240" s="3" t="str">
        <f t="shared" si="1"/>
        <v>P2 - This week</v>
      </c>
      <c r="H240" s="4" t="s">
        <v>421</v>
      </c>
    </row>
    <row r="241" ht="15.75" customHeight="1">
      <c r="A241" s="2" t="s">
        <v>424</v>
      </c>
      <c r="B241" s="2" t="s">
        <v>45</v>
      </c>
      <c r="C241" s="2" t="s">
        <v>36</v>
      </c>
      <c r="D241" s="2" t="s">
        <v>37</v>
      </c>
      <c r="E241" s="2" t="s">
        <v>57</v>
      </c>
      <c r="F241" s="2" t="s">
        <v>21</v>
      </c>
      <c r="G241" s="3" t="str">
        <f t="shared" si="1"/>
        <v>P2 - This week</v>
      </c>
      <c r="H241" s="4" t="s">
        <v>425</v>
      </c>
    </row>
    <row r="242" ht="15.75" customHeight="1">
      <c r="A242" s="2" t="s">
        <v>426</v>
      </c>
      <c r="B242" s="2" t="s">
        <v>45</v>
      </c>
      <c r="C242" s="2" t="s">
        <v>36</v>
      </c>
      <c r="D242" s="2" t="s">
        <v>37</v>
      </c>
      <c r="E242" s="2" t="s">
        <v>57</v>
      </c>
      <c r="F242" s="2" t="s">
        <v>21</v>
      </c>
      <c r="G242" s="3" t="str">
        <f t="shared" si="1"/>
        <v>P2 - This week</v>
      </c>
      <c r="H242" s="4" t="s">
        <v>427</v>
      </c>
    </row>
    <row r="243" ht="15.75" customHeight="1">
      <c r="A243" s="2" t="s">
        <v>428</v>
      </c>
      <c r="B243" s="2" t="s">
        <v>45</v>
      </c>
      <c r="C243" s="2" t="s">
        <v>36</v>
      </c>
      <c r="D243" s="2" t="s">
        <v>37</v>
      </c>
      <c r="E243" s="2" t="s">
        <v>57</v>
      </c>
      <c r="F243" s="2" t="s">
        <v>21</v>
      </c>
      <c r="G243" s="3" t="str">
        <f t="shared" si="1"/>
        <v>P2 - This week</v>
      </c>
      <c r="H243" s="4" t="s">
        <v>429</v>
      </c>
    </row>
    <row r="244" ht="15.75" customHeight="1">
      <c r="A244" s="2" t="s">
        <v>430</v>
      </c>
      <c r="B244" s="2" t="s">
        <v>431</v>
      </c>
      <c r="C244" s="2" t="s">
        <v>36</v>
      </c>
      <c r="D244" s="2" t="s">
        <v>37</v>
      </c>
      <c r="E244" s="2" t="s">
        <v>57</v>
      </c>
      <c r="F244" s="2" t="s">
        <v>21</v>
      </c>
      <c r="G244" s="3" t="str">
        <f t="shared" si="1"/>
        <v>P2 - This week</v>
      </c>
      <c r="H244" s="4" t="s">
        <v>432</v>
      </c>
    </row>
    <row r="245" ht="15.75" customHeight="1">
      <c r="A245" s="2" t="s">
        <v>433</v>
      </c>
      <c r="B245" s="2" t="s">
        <v>45</v>
      </c>
      <c r="C245" s="2" t="s">
        <v>36</v>
      </c>
      <c r="D245" s="2" t="s">
        <v>37</v>
      </c>
      <c r="E245" s="2" t="s">
        <v>57</v>
      </c>
      <c r="F245" s="2" t="s">
        <v>21</v>
      </c>
      <c r="G245" s="3" t="str">
        <f t="shared" si="1"/>
        <v>P2 - This week</v>
      </c>
      <c r="H245" s="4" t="s">
        <v>434</v>
      </c>
    </row>
    <row r="246" ht="15.75" customHeight="1">
      <c r="A246" s="2" t="s">
        <v>435</v>
      </c>
      <c r="B246" s="2" t="s">
        <v>45</v>
      </c>
      <c r="C246" s="2" t="s">
        <v>36</v>
      </c>
      <c r="D246" s="2" t="s">
        <v>37</v>
      </c>
      <c r="E246" s="2" t="s">
        <v>57</v>
      </c>
      <c r="F246" s="2" t="s">
        <v>21</v>
      </c>
      <c r="G246" s="3" t="str">
        <f t="shared" si="1"/>
        <v>P2 - This week</v>
      </c>
      <c r="H246" s="4" t="s">
        <v>436</v>
      </c>
    </row>
    <row r="247" ht="15.75" customHeight="1">
      <c r="A247" s="2" t="s">
        <v>437</v>
      </c>
      <c r="B247" s="2" t="s">
        <v>45</v>
      </c>
      <c r="C247" s="2" t="s">
        <v>36</v>
      </c>
      <c r="D247" s="2" t="s">
        <v>37</v>
      </c>
      <c r="E247" s="2" t="s">
        <v>57</v>
      </c>
      <c r="F247" s="2" t="s">
        <v>21</v>
      </c>
      <c r="G247" s="3" t="str">
        <f t="shared" si="1"/>
        <v>P2 - This week</v>
      </c>
      <c r="H247" s="4" t="s">
        <v>438</v>
      </c>
    </row>
    <row r="248" ht="15.75" customHeight="1">
      <c r="A248" s="2" t="s">
        <v>439</v>
      </c>
      <c r="B248" s="2" t="s">
        <v>45</v>
      </c>
      <c r="C248" s="2" t="s">
        <v>36</v>
      </c>
      <c r="D248" s="2" t="s">
        <v>37</v>
      </c>
      <c r="E248" s="2" t="s">
        <v>57</v>
      </c>
      <c r="F248" s="2" t="s">
        <v>21</v>
      </c>
      <c r="G248" s="3" t="str">
        <f t="shared" si="1"/>
        <v>P2 - This week</v>
      </c>
      <c r="H248" s="4" t="s">
        <v>440</v>
      </c>
    </row>
    <row r="249" ht="15.75" customHeight="1">
      <c r="A249" s="2" t="s">
        <v>441</v>
      </c>
      <c r="B249" s="2" t="s">
        <v>45</v>
      </c>
      <c r="C249" s="2" t="s">
        <v>36</v>
      </c>
      <c r="D249" s="2" t="s">
        <v>37</v>
      </c>
      <c r="E249" s="2" t="s">
        <v>57</v>
      </c>
      <c r="F249" s="2" t="s">
        <v>21</v>
      </c>
      <c r="G249" s="3" t="str">
        <f t="shared" si="1"/>
        <v>P2 - This week</v>
      </c>
      <c r="H249" s="4" t="s">
        <v>442</v>
      </c>
    </row>
    <row r="250" ht="15.75" customHeight="1">
      <c r="A250" s="2" t="s">
        <v>443</v>
      </c>
      <c r="B250" s="2" t="s">
        <v>45</v>
      </c>
      <c r="C250" s="2" t="s">
        <v>36</v>
      </c>
      <c r="D250" s="2" t="s">
        <v>37</v>
      </c>
      <c r="E250" s="2" t="s">
        <v>57</v>
      </c>
      <c r="F250" s="2" t="s">
        <v>21</v>
      </c>
      <c r="G250" s="3" t="str">
        <f t="shared" si="1"/>
        <v>P2 - This week</v>
      </c>
      <c r="H250" s="4" t="s">
        <v>444</v>
      </c>
    </row>
    <row r="251" ht="15.75" customHeight="1">
      <c r="A251" s="2" t="s">
        <v>445</v>
      </c>
      <c r="B251" s="2" t="s">
        <v>45</v>
      </c>
      <c r="C251" s="2" t="s">
        <v>36</v>
      </c>
      <c r="D251" s="2" t="s">
        <v>37</v>
      </c>
      <c r="E251" s="2" t="s">
        <v>57</v>
      </c>
      <c r="F251" s="2" t="s">
        <v>21</v>
      </c>
      <c r="G251" s="3" t="str">
        <f t="shared" si="1"/>
        <v>P2 - This week</v>
      </c>
      <c r="H251" s="4" t="s">
        <v>446</v>
      </c>
    </row>
    <row r="252" ht="15.75" customHeight="1">
      <c r="A252" s="2" t="s">
        <v>447</v>
      </c>
      <c r="B252" s="2" t="s">
        <v>45</v>
      </c>
      <c r="C252" s="2" t="s">
        <v>36</v>
      </c>
      <c r="D252" s="2" t="s">
        <v>37</v>
      </c>
      <c r="E252" s="2" t="s">
        <v>57</v>
      </c>
      <c r="F252" s="2" t="s">
        <v>21</v>
      </c>
      <c r="G252" s="3" t="str">
        <f t="shared" si="1"/>
        <v>P2 - This week</v>
      </c>
      <c r="H252" s="4" t="s">
        <v>448</v>
      </c>
    </row>
    <row r="253" ht="15.75" customHeight="1">
      <c r="A253" s="2" t="s">
        <v>449</v>
      </c>
      <c r="B253" s="2" t="s">
        <v>45</v>
      </c>
      <c r="C253" s="2" t="s">
        <v>36</v>
      </c>
      <c r="D253" s="2" t="s">
        <v>37</v>
      </c>
      <c r="E253" s="2" t="s">
        <v>57</v>
      </c>
      <c r="F253" s="2" t="s">
        <v>21</v>
      </c>
      <c r="G253" s="3" t="str">
        <f t="shared" si="1"/>
        <v>P2 - This week</v>
      </c>
      <c r="H253" s="4" t="s">
        <v>450</v>
      </c>
    </row>
    <row r="254" ht="15.75" customHeight="1">
      <c r="A254" s="2" t="s">
        <v>451</v>
      </c>
      <c r="B254" s="2" t="s">
        <v>45</v>
      </c>
      <c r="C254" s="2" t="s">
        <v>36</v>
      </c>
      <c r="D254" s="2" t="s">
        <v>37</v>
      </c>
      <c r="E254" s="2" t="s">
        <v>57</v>
      </c>
      <c r="F254" s="2" t="s">
        <v>21</v>
      </c>
      <c r="G254" s="3" t="str">
        <f t="shared" si="1"/>
        <v>P2 - This week</v>
      </c>
      <c r="H254" s="4" t="s">
        <v>452</v>
      </c>
    </row>
    <row r="255" ht="15.75" customHeight="1">
      <c r="A255" s="2" t="s">
        <v>453</v>
      </c>
      <c r="B255" s="2" t="s">
        <v>45</v>
      </c>
      <c r="C255" s="2" t="s">
        <v>36</v>
      </c>
      <c r="D255" s="2" t="s">
        <v>37</v>
      </c>
      <c r="E255" s="2" t="s">
        <v>57</v>
      </c>
      <c r="F255" s="2" t="s">
        <v>21</v>
      </c>
      <c r="G255" s="3" t="str">
        <f t="shared" si="1"/>
        <v>P2 - This week</v>
      </c>
      <c r="H255" s="4" t="s">
        <v>454</v>
      </c>
    </row>
    <row r="256" ht="15.75" customHeight="1">
      <c r="A256" s="2" t="s">
        <v>455</v>
      </c>
      <c r="B256" s="2" t="s">
        <v>45</v>
      </c>
      <c r="C256" s="2" t="s">
        <v>36</v>
      </c>
      <c r="D256" s="2" t="s">
        <v>37</v>
      </c>
      <c r="E256" s="2" t="s">
        <v>57</v>
      </c>
      <c r="F256" s="2" t="s">
        <v>21</v>
      </c>
      <c r="G256" s="3" t="str">
        <f t="shared" si="1"/>
        <v>P2 - This week</v>
      </c>
      <c r="H256" s="4" t="s">
        <v>456</v>
      </c>
    </row>
    <row r="257" ht="15.75" customHeight="1">
      <c r="A257" s="2" t="s">
        <v>457</v>
      </c>
      <c r="B257" s="2" t="s">
        <v>45</v>
      </c>
      <c r="C257" s="2" t="s">
        <v>36</v>
      </c>
      <c r="D257" s="2" t="s">
        <v>37</v>
      </c>
      <c r="E257" s="2" t="s">
        <v>57</v>
      </c>
      <c r="F257" s="2" t="s">
        <v>21</v>
      </c>
      <c r="G257" s="3" t="str">
        <f t="shared" si="1"/>
        <v>P2 - This week</v>
      </c>
      <c r="H257" s="4" t="s">
        <v>458</v>
      </c>
    </row>
    <row r="258" ht="15.75" customHeight="1">
      <c r="A258" s="2" t="s">
        <v>459</v>
      </c>
      <c r="B258" s="2" t="s">
        <v>45</v>
      </c>
      <c r="C258" s="2" t="s">
        <v>36</v>
      </c>
      <c r="D258" s="2" t="s">
        <v>37</v>
      </c>
      <c r="E258" s="2" t="s">
        <v>57</v>
      </c>
      <c r="F258" s="2" t="s">
        <v>21</v>
      </c>
      <c r="G258" s="3" t="str">
        <f t="shared" si="1"/>
        <v>P2 - This week</v>
      </c>
      <c r="H258" s="4" t="s">
        <v>460</v>
      </c>
    </row>
    <row r="259" ht="15.75" customHeight="1">
      <c r="A259" s="2" t="s">
        <v>461</v>
      </c>
      <c r="B259" s="2" t="s">
        <v>45</v>
      </c>
      <c r="C259" s="2" t="s">
        <v>36</v>
      </c>
      <c r="D259" s="2" t="s">
        <v>37</v>
      </c>
      <c r="E259" s="2" t="s">
        <v>57</v>
      </c>
      <c r="F259" s="2" t="s">
        <v>21</v>
      </c>
      <c r="G259" s="3" t="str">
        <f t="shared" si="1"/>
        <v>P2 - This week</v>
      </c>
      <c r="H259" s="4" t="s">
        <v>462</v>
      </c>
    </row>
    <row r="260" ht="15.75" customHeight="1">
      <c r="A260" s="2" t="s">
        <v>463</v>
      </c>
      <c r="B260" s="2" t="s">
        <v>45</v>
      </c>
      <c r="C260" s="2" t="s">
        <v>36</v>
      </c>
      <c r="D260" s="2" t="s">
        <v>37</v>
      </c>
      <c r="E260" s="2" t="s">
        <v>57</v>
      </c>
      <c r="F260" s="2" t="s">
        <v>21</v>
      </c>
      <c r="G260" s="3" t="str">
        <f t="shared" si="1"/>
        <v>P2 - This week</v>
      </c>
      <c r="H260" s="4" t="s">
        <v>464</v>
      </c>
    </row>
    <row r="261" ht="15.75" customHeight="1">
      <c r="A261" s="2" t="s">
        <v>465</v>
      </c>
      <c r="B261" s="2" t="s">
        <v>45</v>
      </c>
      <c r="C261" s="2" t="s">
        <v>36</v>
      </c>
      <c r="D261" s="2" t="s">
        <v>37</v>
      </c>
      <c r="E261" s="2" t="s">
        <v>57</v>
      </c>
      <c r="F261" s="2" t="s">
        <v>21</v>
      </c>
      <c r="G261" s="3" t="str">
        <f t="shared" si="1"/>
        <v>P2 - This week</v>
      </c>
      <c r="H261" s="4" t="s">
        <v>466</v>
      </c>
    </row>
    <row r="262" ht="15.75" customHeight="1">
      <c r="A262" s="2" t="s">
        <v>467</v>
      </c>
      <c r="B262" s="2" t="s">
        <v>45</v>
      </c>
      <c r="C262" s="2" t="s">
        <v>36</v>
      </c>
      <c r="D262" s="2" t="s">
        <v>37</v>
      </c>
      <c r="E262" s="2" t="s">
        <v>57</v>
      </c>
      <c r="F262" s="2" t="s">
        <v>21</v>
      </c>
      <c r="G262" s="3" t="str">
        <f t="shared" si="1"/>
        <v>P2 - This week</v>
      </c>
      <c r="H262" s="4" t="s">
        <v>468</v>
      </c>
    </row>
    <row r="263" ht="15.75" customHeight="1">
      <c r="A263" s="2" t="s">
        <v>469</v>
      </c>
      <c r="B263" s="2" t="s">
        <v>45</v>
      </c>
      <c r="C263" s="2" t="s">
        <v>36</v>
      </c>
      <c r="D263" s="2" t="s">
        <v>37</v>
      </c>
      <c r="E263" s="2" t="s">
        <v>57</v>
      </c>
      <c r="F263" s="2" t="s">
        <v>21</v>
      </c>
      <c r="G263" s="3" t="str">
        <f t="shared" si="1"/>
        <v>P2 - This week</v>
      </c>
      <c r="H263" s="4" t="s">
        <v>470</v>
      </c>
    </row>
    <row r="264" ht="15.75" customHeight="1">
      <c r="A264" s="2" t="s">
        <v>471</v>
      </c>
      <c r="B264" s="2" t="s">
        <v>45</v>
      </c>
      <c r="C264" s="2" t="s">
        <v>36</v>
      </c>
      <c r="D264" s="2" t="s">
        <v>37</v>
      </c>
      <c r="E264" s="2" t="s">
        <v>57</v>
      </c>
      <c r="F264" s="2" t="s">
        <v>21</v>
      </c>
      <c r="G264" s="3" t="str">
        <f t="shared" si="1"/>
        <v>P2 - This week</v>
      </c>
      <c r="H264" s="4" t="s">
        <v>472</v>
      </c>
    </row>
    <row r="265" ht="15.75" customHeight="1">
      <c r="A265" s="2" t="s">
        <v>473</v>
      </c>
      <c r="B265" s="2" t="s">
        <v>45</v>
      </c>
      <c r="C265" s="2" t="s">
        <v>36</v>
      </c>
      <c r="D265" s="2" t="s">
        <v>37</v>
      </c>
      <c r="E265" s="2" t="s">
        <v>57</v>
      </c>
      <c r="F265" s="2" t="s">
        <v>21</v>
      </c>
      <c r="G265" s="3" t="str">
        <f t="shared" si="1"/>
        <v>P2 - This week</v>
      </c>
      <c r="H265" s="4" t="s">
        <v>474</v>
      </c>
    </row>
    <row r="266" ht="15.75" customHeight="1">
      <c r="A266" s="2" t="s">
        <v>475</v>
      </c>
      <c r="B266" s="2" t="s">
        <v>45</v>
      </c>
      <c r="C266" s="2" t="s">
        <v>36</v>
      </c>
      <c r="D266" s="2" t="s">
        <v>37</v>
      </c>
      <c r="E266" s="2" t="s">
        <v>57</v>
      </c>
      <c r="F266" s="2" t="s">
        <v>21</v>
      </c>
      <c r="G266" s="3" t="str">
        <f t="shared" si="1"/>
        <v>P2 - This week</v>
      </c>
      <c r="H266" s="4" t="s">
        <v>476</v>
      </c>
    </row>
    <row r="267" ht="15.75" customHeight="1">
      <c r="A267" s="2" t="s">
        <v>477</v>
      </c>
      <c r="B267" s="2" t="s">
        <v>45</v>
      </c>
      <c r="C267" s="2" t="s">
        <v>36</v>
      </c>
      <c r="D267" s="2" t="s">
        <v>37</v>
      </c>
      <c r="E267" s="2" t="s">
        <v>57</v>
      </c>
      <c r="F267" s="2" t="s">
        <v>21</v>
      </c>
      <c r="G267" s="3" t="str">
        <f t="shared" si="1"/>
        <v>P2 - This week</v>
      </c>
      <c r="H267" s="4" t="s">
        <v>478</v>
      </c>
    </row>
    <row r="268" ht="15.75" customHeight="1">
      <c r="A268" s="2" t="s">
        <v>479</v>
      </c>
      <c r="B268" s="2" t="s">
        <v>480</v>
      </c>
      <c r="C268" s="2" t="s">
        <v>36</v>
      </c>
      <c r="D268" s="2" t="s">
        <v>37</v>
      </c>
      <c r="E268" s="2" t="s">
        <v>57</v>
      </c>
      <c r="F268" s="2" t="s">
        <v>21</v>
      </c>
      <c r="G268" s="3" t="str">
        <f t="shared" si="1"/>
        <v>P2 - This week</v>
      </c>
      <c r="H268" s="4" t="s">
        <v>481</v>
      </c>
    </row>
    <row r="269" ht="15.75" customHeight="1">
      <c r="A269" s="2" t="s">
        <v>479</v>
      </c>
      <c r="B269" s="2" t="s">
        <v>482</v>
      </c>
      <c r="C269" s="2" t="s">
        <v>36</v>
      </c>
      <c r="D269" s="2" t="s">
        <v>37</v>
      </c>
      <c r="E269" s="2" t="s">
        <v>57</v>
      </c>
      <c r="F269" s="2" t="s">
        <v>21</v>
      </c>
      <c r="G269" s="3" t="str">
        <f t="shared" si="1"/>
        <v>P2 - This week</v>
      </c>
      <c r="H269" s="4" t="s">
        <v>481</v>
      </c>
    </row>
    <row r="270" ht="15.75" customHeight="1">
      <c r="A270" s="2" t="s">
        <v>483</v>
      </c>
      <c r="B270" s="2" t="s">
        <v>45</v>
      </c>
      <c r="C270" s="2" t="s">
        <v>36</v>
      </c>
      <c r="D270" s="2" t="s">
        <v>37</v>
      </c>
      <c r="E270" s="2" t="s">
        <v>57</v>
      </c>
      <c r="F270" s="2" t="s">
        <v>21</v>
      </c>
      <c r="G270" s="3" t="str">
        <f t="shared" si="1"/>
        <v>P2 - This week</v>
      </c>
      <c r="H270" s="4" t="s">
        <v>484</v>
      </c>
    </row>
    <row r="271" ht="15.75" customHeight="1">
      <c r="A271" s="2" t="s">
        <v>485</v>
      </c>
      <c r="B271" s="2" t="s">
        <v>486</v>
      </c>
      <c r="C271" s="2" t="s">
        <v>36</v>
      </c>
      <c r="D271" s="2" t="s">
        <v>37</v>
      </c>
      <c r="E271" s="2" t="s">
        <v>57</v>
      </c>
      <c r="F271" s="2" t="s">
        <v>21</v>
      </c>
      <c r="G271" s="3" t="str">
        <f t="shared" si="1"/>
        <v>P2 - This week</v>
      </c>
      <c r="H271" s="4" t="s">
        <v>487</v>
      </c>
    </row>
    <row r="272" ht="15.75" customHeight="1">
      <c r="A272" s="2" t="s">
        <v>488</v>
      </c>
      <c r="B272" s="2" t="s">
        <v>45</v>
      </c>
      <c r="C272" s="2" t="s">
        <v>36</v>
      </c>
      <c r="D272" s="2" t="s">
        <v>37</v>
      </c>
      <c r="E272" s="2" t="s">
        <v>57</v>
      </c>
      <c r="F272" s="2" t="s">
        <v>21</v>
      </c>
      <c r="G272" s="3" t="str">
        <f t="shared" si="1"/>
        <v>P2 - This week</v>
      </c>
      <c r="H272" s="4" t="s">
        <v>489</v>
      </c>
    </row>
    <row r="273" ht="15.75" customHeight="1">
      <c r="A273" s="2" t="s">
        <v>490</v>
      </c>
      <c r="B273" s="2" t="s">
        <v>491</v>
      </c>
      <c r="C273" s="2" t="s">
        <v>36</v>
      </c>
      <c r="D273" s="2" t="s">
        <v>37</v>
      </c>
      <c r="E273" s="2" t="s">
        <v>57</v>
      </c>
      <c r="F273" s="2" t="s">
        <v>21</v>
      </c>
      <c r="G273" s="3" t="str">
        <f t="shared" si="1"/>
        <v>P2 - This week</v>
      </c>
      <c r="H273" s="4" t="s">
        <v>492</v>
      </c>
    </row>
    <row r="274" ht="15.75" customHeight="1">
      <c r="A274" s="2" t="s">
        <v>493</v>
      </c>
      <c r="B274" s="2" t="s">
        <v>34</v>
      </c>
      <c r="C274" s="2" t="s">
        <v>36</v>
      </c>
      <c r="D274" s="2" t="s">
        <v>37</v>
      </c>
      <c r="E274" s="2" t="s">
        <v>57</v>
      </c>
      <c r="F274" s="2" t="s">
        <v>21</v>
      </c>
      <c r="G274" s="3" t="str">
        <f t="shared" si="1"/>
        <v>P2 - This week</v>
      </c>
      <c r="H274" s="4" t="s">
        <v>494</v>
      </c>
    </row>
    <row r="275" ht="15.75" customHeight="1">
      <c r="A275" s="2" t="s">
        <v>493</v>
      </c>
      <c r="B275" s="2" t="s">
        <v>39</v>
      </c>
      <c r="C275" s="2" t="s">
        <v>36</v>
      </c>
      <c r="D275" s="2" t="s">
        <v>37</v>
      </c>
      <c r="E275" s="2" t="s">
        <v>57</v>
      </c>
      <c r="F275" s="2" t="s">
        <v>21</v>
      </c>
      <c r="G275" s="3" t="str">
        <f t="shared" si="1"/>
        <v>P2 - This week</v>
      </c>
      <c r="H275" s="4" t="s">
        <v>494</v>
      </c>
    </row>
    <row r="276" ht="15.75" customHeight="1">
      <c r="A276" s="2" t="s">
        <v>493</v>
      </c>
      <c r="B276" s="2" t="s">
        <v>40</v>
      </c>
      <c r="C276" s="2" t="s">
        <v>36</v>
      </c>
      <c r="D276" s="2" t="s">
        <v>37</v>
      </c>
      <c r="E276" s="2" t="s">
        <v>57</v>
      </c>
      <c r="F276" s="2" t="s">
        <v>21</v>
      </c>
      <c r="G276" s="3" t="str">
        <f t="shared" si="1"/>
        <v>P2 - This week</v>
      </c>
      <c r="H276" s="4" t="s">
        <v>494</v>
      </c>
    </row>
    <row r="277" ht="15.75" customHeight="1">
      <c r="A277" s="2" t="s">
        <v>495</v>
      </c>
      <c r="B277" s="2" t="s">
        <v>34</v>
      </c>
      <c r="C277" s="2" t="s">
        <v>36</v>
      </c>
      <c r="D277" s="2" t="s">
        <v>37</v>
      </c>
      <c r="E277" s="2" t="s">
        <v>57</v>
      </c>
      <c r="F277" s="2" t="s">
        <v>21</v>
      </c>
      <c r="G277" s="3" t="str">
        <f t="shared" si="1"/>
        <v>P2 - This week</v>
      </c>
      <c r="H277" s="4" t="s">
        <v>496</v>
      </c>
    </row>
    <row r="278" ht="15.75" customHeight="1">
      <c r="A278" s="2" t="s">
        <v>495</v>
      </c>
      <c r="B278" s="2" t="s">
        <v>39</v>
      </c>
      <c r="C278" s="2" t="s">
        <v>36</v>
      </c>
      <c r="D278" s="2" t="s">
        <v>37</v>
      </c>
      <c r="E278" s="2" t="s">
        <v>57</v>
      </c>
      <c r="F278" s="2" t="s">
        <v>21</v>
      </c>
      <c r="G278" s="3" t="str">
        <f t="shared" si="1"/>
        <v>P2 - This week</v>
      </c>
      <c r="H278" s="4" t="s">
        <v>496</v>
      </c>
    </row>
    <row r="279" ht="15.75" customHeight="1">
      <c r="A279" s="2" t="s">
        <v>495</v>
      </c>
      <c r="B279" s="2" t="s">
        <v>40</v>
      </c>
      <c r="C279" s="2" t="s">
        <v>36</v>
      </c>
      <c r="D279" s="2" t="s">
        <v>37</v>
      </c>
      <c r="E279" s="2" t="s">
        <v>57</v>
      </c>
      <c r="F279" s="2" t="s">
        <v>21</v>
      </c>
      <c r="G279" s="3" t="str">
        <f t="shared" si="1"/>
        <v>P2 - This week</v>
      </c>
      <c r="H279" s="4" t="s">
        <v>496</v>
      </c>
    </row>
    <row r="280" ht="15.75" customHeight="1">
      <c r="A280" s="2" t="s">
        <v>497</v>
      </c>
      <c r="B280" s="2" t="s">
        <v>34</v>
      </c>
      <c r="C280" s="2" t="s">
        <v>36</v>
      </c>
      <c r="D280" s="2" t="s">
        <v>37</v>
      </c>
      <c r="E280" s="2" t="s">
        <v>57</v>
      </c>
      <c r="F280" s="2" t="s">
        <v>21</v>
      </c>
      <c r="G280" s="3" t="str">
        <f t="shared" si="1"/>
        <v>P2 - This week</v>
      </c>
      <c r="H280" s="4" t="s">
        <v>498</v>
      </c>
    </row>
    <row r="281" ht="15.75" customHeight="1">
      <c r="A281" s="2" t="s">
        <v>497</v>
      </c>
      <c r="B281" s="2" t="s">
        <v>39</v>
      </c>
      <c r="C281" s="2" t="s">
        <v>36</v>
      </c>
      <c r="D281" s="2" t="s">
        <v>37</v>
      </c>
      <c r="E281" s="2" t="s">
        <v>57</v>
      </c>
      <c r="F281" s="2" t="s">
        <v>21</v>
      </c>
      <c r="G281" s="3" t="str">
        <f t="shared" si="1"/>
        <v>P2 - This week</v>
      </c>
      <c r="H281" s="4" t="s">
        <v>498</v>
      </c>
    </row>
    <row r="282" ht="15.75" customHeight="1">
      <c r="A282" s="2" t="s">
        <v>497</v>
      </c>
      <c r="B282" s="2" t="s">
        <v>40</v>
      </c>
      <c r="C282" s="2" t="s">
        <v>36</v>
      </c>
      <c r="D282" s="2" t="s">
        <v>37</v>
      </c>
      <c r="E282" s="2" t="s">
        <v>57</v>
      </c>
      <c r="F282" s="2" t="s">
        <v>21</v>
      </c>
      <c r="G282" s="3" t="str">
        <f t="shared" si="1"/>
        <v>P2 - This week</v>
      </c>
      <c r="H282" s="4" t="s">
        <v>498</v>
      </c>
    </row>
    <row r="283" ht="15.75" customHeight="1">
      <c r="A283" s="2" t="s">
        <v>499</v>
      </c>
      <c r="B283" s="2" t="s">
        <v>45</v>
      </c>
      <c r="C283" s="2" t="s">
        <v>36</v>
      </c>
      <c r="D283" s="2" t="s">
        <v>37</v>
      </c>
      <c r="E283" s="2" t="s">
        <v>57</v>
      </c>
      <c r="F283" s="2" t="s">
        <v>21</v>
      </c>
      <c r="G283" s="3" t="str">
        <f t="shared" si="1"/>
        <v>P2 - This week</v>
      </c>
      <c r="H283" s="4" t="s">
        <v>500</v>
      </c>
    </row>
    <row r="284" ht="15.75" customHeight="1">
      <c r="A284" s="2" t="s">
        <v>501</v>
      </c>
      <c r="B284" s="2" t="s">
        <v>45</v>
      </c>
      <c r="C284" s="2" t="s">
        <v>36</v>
      </c>
      <c r="D284" s="2" t="s">
        <v>37</v>
      </c>
      <c r="E284" s="2" t="s">
        <v>57</v>
      </c>
      <c r="F284" s="2" t="s">
        <v>21</v>
      </c>
      <c r="G284" s="3" t="str">
        <f t="shared" si="1"/>
        <v>P2 - This week</v>
      </c>
      <c r="H284" s="4" t="s">
        <v>502</v>
      </c>
    </row>
    <row r="285" ht="15.75" customHeight="1">
      <c r="A285" s="2" t="s">
        <v>503</v>
      </c>
      <c r="B285" s="2" t="s">
        <v>45</v>
      </c>
      <c r="C285" s="2" t="s">
        <v>36</v>
      </c>
      <c r="D285" s="2" t="s">
        <v>37</v>
      </c>
      <c r="E285" s="2" t="s">
        <v>57</v>
      </c>
      <c r="F285" s="2" t="s">
        <v>21</v>
      </c>
      <c r="G285" s="3" t="str">
        <f t="shared" si="1"/>
        <v>P2 - This week</v>
      </c>
      <c r="H285" s="4" t="s">
        <v>504</v>
      </c>
    </row>
    <row r="286" ht="15.75" customHeight="1">
      <c r="A286" s="2" t="s">
        <v>505</v>
      </c>
      <c r="B286" s="2" t="s">
        <v>506</v>
      </c>
      <c r="C286" s="2" t="s">
        <v>36</v>
      </c>
      <c r="D286" s="2" t="s">
        <v>37</v>
      </c>
      <c r="E286" s="2" t="s">
        <v>57</v>
      </c>
      <c r="F286" s="2" t="s">
        <v>21</v>
      </c>
      <c r="G286" s="3" t="str">
        <f t="shared" si="1"/>
        <v>P2 - This week</v>
      </c>
      <c r="H286" s="4" t="s">
        <v>507</v>
      </c>
    </row>
    <row r="287" ht="15.75" customHeight="1">
      <c r="A287" s="2" t="s">
        <v>505</v>
      </c>
      <c r="B287" s="2" t="s">
        <v>508</v>
      </c>
      <c r="C287" s="2" t="s">
        <v>36</v>
      </c>
      <c r="D287" s="2" t="s">
        <v>37</v>
      </c>
      <c r="E287" s="2" t="s">
        <v>57</v>
      </c>
      <c r="F287" s="2" t="s">
        <v>21</v>
      </c>
      <c r="G287" s="3" t="str">
        <f t="shared" si="1"/>
        <v>P2 - This week</v>
      </c>
      <c r="H287" s="4" t="s">
        <v>507</v>
      </c>
    </row>
    <row r="288" ht="15.75" customHeight="1">
      <c r="A288" s="2" t="s">
        <v>509</v>
      </c>
      <c r="B288" s="2" t="s">
        <v>510</v>
      </c>
      <c r="C288" s="2" t="s">
        <v>36</v>
      </c>
      <c r="D288" s="2" t="s">
        <v>37</v>
      </c>
      <c r="E288" s="2" t="s">
        <v>57</v>
      </c>
      <c r="F288" s="2" t="s">
        <v>21</v>
      </c>
      <c r="G288" s="3" t="str">
        <f t="shared" si="1"/>
        <v>P2 - This week</v>
      </c>
      <c r="H288" s="4" t="s">
        <v>511</v>
      </c>
    </row>
    <row r="289" ht="15.75" customHeight="1">
      <c r="A289" s="2" t="s">
        <v>512</v>
      </c>
      <c r="B289" s="2" t="s">
        <v>510</v>
      </c>
      <c r="C289" s="2" t="s">
        <v>36</v>
      </c>
      <c r="D289" s="2" t="s">
        <v>37</v>
      </c>
      <c r="E289" s="2" t="s">
        <v>57</v>
      </c>
      <c r="F289" s="2" t="s">
        <v>21</v>
      </c>
      <c r="G289" s="3" t="str">
        <f t="shared" si="1"/>
        <v>P2 - This week</v>
      </c>
      <c r="H289" s="4" t="s">
        <v>513</v>
      </c>
    </row>
    <row r="290" ht="15.75" customHeight="1">
      <c r="A290" s="2" t="s">
        <v>514</v>
      </c>
      <c r="B290" s="2" t="s">
        <v>510</v>
      </c>
      <c r="C290" s="2" t="s">
        <v>36</v>
      </c>
      <c r="D290" s="2" t="s">
        <v>37</v>
      </c>
      <c r="E290" s="2" t="s">
        <v>57</v>
      </c>
      <c r="F290" s="2" t="s">
        <v>21</v>
      </c>
      <c r="G290" s="3" t="str">
        <f t="shared" si="1"/>
        <v>P2 - This week</v>
      </c>
      <c r="H290" s="4" t="s">
        <v>515</v>
      </c>
    </row>
    <row r="291" ht="15.75" customHeight="1">
      <c r="A291" s="2" t="s">
        <v>516</v>
      </c>
      <c r="B291" s="2" t="s">
        <v>517</v>
      </c>
      <c r="C291" s="2" t="s">
        <v>36</v>
      </c>
      <c r="D291" s="2" t="s">
        <v>37</v>
      </c>
      <c r="E291" s="2" t="s">
        <v>57</v>
      </c>
      <c r="F291" s="2" t="s">
        <v>21</v>
      </c>
      <c r="G291" s="3" t="str">
        <f t="shared" si="1"/>
        <v>P2 - This week</v>
      </c>
      <c r="H291" s="4" t="s">
        <v>518</v>
      </c>
    </row>
    <row r="292" ht="15.75" customHeight="1">
      <c r="A292" s="2" t="s">
        <v>516</v>
      </c>
      <c r="B292" s="2" t="s">
        <v>519</v>
      </c>
      <c r="C292" s="2" t="s">
        <v>36</v>
      </c>
      <c r="D292" s="2" t="s">
        <v>37</v>
      </c>
      <c r="E292" s="2" t="s">
        <v>57</v>
      </c>
      <c r="F292" s="2" t="s">
        <v>21</v>
      </c>
      <c r="G292" s="3" t="str">
        <f t="shared" si="1"/>
        <v>P2 - This week</v>
      </c>
      <c r="H292" s="4" t="s">
        <v>518</v>
      </c>
    </row>
    <row r="293" ht="15.75" customHeight="1">
      <c r="A293" s="2" t="s">
        <v>516</v>
      </c>
      <c r="B293" s="2" t="s">
        <v>520</v>
      </c>
      <c r="C293" s="2" t="s">
        <v>36</v>
      </c>
      <c r="D293" s="2" t="s">
        <v>37</v>
      </c>
      <c r="E293" s="2" t="s">
        <v>57</v>
      </c>
      <c r="F293" s="2" t="s">
        <v>21</v>
      </c>
      <c r="G293" s="3" t="str">
        <f t="shared" si="1"/>
        <v>P2 - This week</v>
      </c>
      <c r="H293" s="4" t="s">
        <v>518</v>
      </c>
    </row>
    <row r="294" ht="15.75" customHeight="1">
      <c r="A294" s="2" t="s">
        <v>516</v>
      </c>
      <c r="B294" s="2" t="s">
        <v>521</v>
      </c>
      <c r="C294" s="2" t="s">
        <v>36</v>
      </c>
      <c r="D294" s="2" t="s">
        <v>37</v>
      </c>
      <c r="E294" s="2" t="s">
        <v>57</v>
      </c>
      <c r="F294" s="2" t="s">
        <v>21</v>
      </c>
      <c r="G294" s="3" t="str">
        <f t="shared" si="1"/>
        <v>P2 - This week</v>
      </c>
      <c r="H294" s="4" t="s">
        <v>518</v>
      </c>
    </row>
    <row r="295" ht="15.75" customHeight="1">
      <c r="A295" s="2" t="s">
        <v>522</v>
      </c>
      <c r="B295" s="2" t="s">
        <v>45</v>
      </c>
      <c r="C295" s="2" t="s">
        <v>36</v>
      </c>
      <c r="D295" s="2" t="s">
        <v>37</v>
      </c>
      <c r="E295" s="2" t="s">
        <v>57</v>
      </c>
      <c r="F295" s="2" t="s">
        <v>21</v>
      </c>
      <c r="G295" s="3" t="str">
        <f t="shared" si="1"/>
        <v>P2 - This week</v>
      </c>
      <c r="H295" s="4" t="s">
        <v>523</v>
      </c>
    </row>
    <row r="296" ht="15.75" customHeight="1">
      <c r="A296" s="2" t="s">
        <v>524</v>
      </c>
      <c r="B296" s="2" t="s">
        <v>45</v>
      </c>
      <c r="C296" s="2" t="s">
        <v>36</v>
      </c>
      <c r="D296" s="2" t="s">
        <v>37</v>
      </c>
      <c r="E296" s="2" t="s">
        <v>57</v>
      </c>
      <c r="F296" s="2" t="s">
        <v>21</v>
      </c>
      <c r="G296" s="3" t="str">
        <f t="shared" si="1"/>
        <v>P2 - This week</v>
      </c>
      <c r="H296" s="4" t="s">
        <v>525</v>
      </c>
    </row>
    <row r="297" ht="15.75" customHeight="1">
      <c r="A297" s="2" t="s">
        <v>526</v>
      </c>
      <c r="B297" s="2" t="s">
        <v>45</v>
      </c>
      <c r="C297" s="2" t="s">
        <v>36</v>
      </c>
      <c r="D297" s="2" t="s">
        <v>37</v>
      </c>
      <c r="E297" s="2" t="s">
        <v>57</v>
      </c>
      <c r="F297" s="2" t="s">
        <v>21</v>
      </c>
      <c r="G297" s="3" t="str">
        <f t="shared" si="1"/>
        <v>P2 - This week</v>
      </c>
      <c r="H297" s="4" t="s">
        <v>527</v>
      </c>
    </row>
    <row r="298" ht="15.75" customHeight="1">
      <c r="A298" s="2" t="s">
        <v>528</v>
      </c>
      <c r="B298" s="2" t="s">
        <v>45</v>
      </c>
      <c r="C298" s="2" t="s">
        <v>36</v>
      </c>
      <c r="D298" s="2" t="s">
        <v>37</v>
      </c>
      <c r="E298" s="2" t="s">
        <v>57</v>
      </c>
      <c r="F298" s="2" t="s">
        <v>21</v>
      </c>
      <c r="G298" s="3" t="str">
        <f t="shared" si="1"/>
        <v>P2 - This week</v>
      </c>
      <c r="H298" s="4" t="s">
        <v>529</v>
      </c>
    </row>
    <row r="299" ht="15.75" customHeight="1">
      <c r="A299" s="2" t="s">
        <v>530</v>
      </c>
      <c r="B299" s="2" t="s">
        <v>45</v>
      </c>
      <c r="C299" s="2" t="s">
        <v>36</v>
      </c>
      <c r="D299" s="2" t="s">
        <v>37</v>
      </c>
      <c r="E299" s="2" t="s">
        <v>57</v>
      </c>
      <c r="F299" s="2" t="s">
        <v>21</v>
      </c>
      <c r="G299" s="3" t="str">
        <f t="shared" si="1"/>
        <v>P2 - This week</v>
      </c>
      <c r="H299" s="4" t="s">
        <v>531</v>
      </c>
    </row>
    <row r="300" ht="15.75" customHeight="1">
      <c r="A300" s="2" t="s">
        <v>532</v>
      </c>
      <c r="B300" s="2" t="s">
        <v>517</v>
      </c>
      <c r="C300" s="2" t="s">
        <v>36</v>
      </c>
      <c r="D300" s="2" t="s">
        <v>37</v>
      </c>
      <c r="E300" s="2" t="s">
        <v>57</v>
      </c>
      <c r="F300" s="2" t="s">
        <v>21</v>
      </c>
      <c r="G300" s="3" t="str">
        <f t="shared" si="1"/>
        <v>P2 - This week</v>
      </c>
      <c r="H300" s="4" t="s">
        <v>533</v>
      </c>
    </row>
    <row r="301" ht="15.75" customHeight="1">
      <c r="A301" s="2" t="s">
        <v>532</v>
      </c>
      <c r="B301" s="2" t="s">
        <v>519</v>
      </c>
      <c r="C301" s="2" t="s">
        <v>36</v>
      </c>
      <c r="D301" s="2" t="s">
        <v>37</v>
      </c>
      <c r="E301" s="2" t="s">
        <v>57</v>
      </c>
      <c r="F301" s="2" t="s">
        <v>21</v>
      </c>
      <c r="G301" s="3" t="str">
        <f t="shared" si="1"/>
        <v>P2 - This week</v>
      </c>
      <c r="H301" s="4" t="s">
        <v>533</v>
      </c>
    </row>
    <row r="302" ht="15.75" customHeight="1">
      <c r="A302" s="2" t="s">
        <v>532</v>
      </c>
      <c r="B302" s="2" t="s">
        <v>520</v>
      </c>
      <c r="C302" s="2" t="s">
        <v>36</v>
      </c>
      <c r="D302" s="2" t="s">
        <v>37</v>
      </c>
      <c r="E302" s="2" t="s">
        <v>57</v>
      </c>
      <c r="F302" s="2" t="s">
        <v>21</v>
      </c>
      <c r="G302" s="3" t="str">
        <f t="shared" si="1"/>
        <v>P2 - This week</v>
      </c>
      <c r="H302" s="4" t="s">
        <v>533</v>
      </c>
    </row>
    <row r="303" ht="15.75" customHeight="1">
      <c r="A303" s="2" t="s">
        <v>532</v>
      </c>
      <c r="B303" s="2" t="s">
        <v>521</v>
      </c>
      <c r="C303" s="2" t="s">
        <v>36</v>
      </c>
      <c r="D303" s="2" t="s">
        <v>37</v>
      </c>
      <c r="E303" s="2" t="s">
        <v>57</v>
      </c>
      <c r="F303" s="2" t="s">
        <v>21</v>
      </c>
      <c r="G303" s="3" t="str">
        <f t="shared" si="1"/>
        <v>P2 - This week</v>
      </c>
      <c r="H303" s="4" t="s">
        <v>533</v>
      </c>
    </row>
    <row r="304" ht="15.75" customHeight="1">
      <c r="A304" s="2" t="s">
        <v>534</v>
      </c>
      <c r="B304" s="2" t="s">
        <v>45</v>
      </c>
      <c r="C304" s="2" t="s">
        <v>36</v>
      </c>
      <c r="D304" s="2" t="s">
        <v>37</v>
      </c>
      <c r="E304" s="2" t="s">
        <v>57</v>
      </c>
      <c r="F304" s="2" t="s">
        <v>21</v>
      </c>
      <c r="G304" s="3" t="str">
        <f t="shared" si="1"/>
        <v>P2 - This week</v>
      </c>
      <c r="H304" s="4" t="s">
        <v>535</v>
      </c>
    </row>
    <row r="305" ht="15.75" customHeight="1">
      <c r="A305" s="2" t="s">
        <v>536</v>
      </c>
      <c r="B305" s="2" t="s">
        <v>45</v>
      </c>
      <c r="C305" s="2" t="s">
        <v>36</v>
      </c>
      <c r="D305" s="2" t="s">
        <v>37</v>
      </c>
      <c r="E305" s="2" t="s">
        <v>57</v>
      </c>
      <c r="F305" s="2" t="s">
        <v>21</v>
      </c>
      <c r="G305" s="3" t="str">
        <f t="shared" si="1"/>
        <v>P2 - This week</v>
      </c>
      <c r="H305" s="4" t="s">
        <v>537</v>
      </c>
    </row>
    <row r="306" ht="15.75" customHeight="1">
      <c r="A306" s="2" t="s">
        <v>538</v>
      </c>
      <c r="B306" s="2" t="s">
        <v>45</v>
      </c>
      <c r="C306" s="2" t="s">
        <v>36</v>
      </c>
      <c r="D306" s="2" t="s">
        <v>37</v>
      </c>
      <c r="E306" s="2" t="s">
        <v>57</v>
      </c>
      <c r="F306" s="2" t="s">
        <v>21</v>
      </c>
      <c r="G306" s="3" t="str">
        <f t="shared" si="1"/>
        <v>P2 - This week</v>
      </c>
      <c r="H306" s="4" t="s">
        <v>539</v>
      </c>
    </row>
    <row r="307" ht="15.75" customHeight="1">
      <c r="A307" s="2" t="s">
        <v>540</v>
      </c>
      <c r="B307" s="2" t="s">
        <v>45</v>
      </c>
      <c r="C307" s="2" t="s">
        <v>36</v>
      </c>
      <c r="D307" s="2" t="s">
        <v>37</v>
      </c>
      <c r="E307" s="2" t="s">
        <v>57</v>
      </c>
      <c r="F307" s="2" t="s">
        <v>21</v>
      </c>
      <c r="G307" s="3" t="str">
        <f t="shared" si="1"/>
        <v>P2 - This week</v>
      </c>
      <c r="H307" s="4" t="s">
        <v>541</v>
      </c>
    </row>
    <row r="308" ht="15.75" customHeight="1">
      <c r="A308" s="2" t="s">
        <v>542</v>
      </c>
      <c r="B308" s="2" t="s">
        <v>45</v>
      </c>
      <c r="C308" s="2" t="s">
        <v>36</v>
      </c>
      <c r="D308" s="2" t="s">
        <v>37</v>
      </c>
      <c r="E308" s="2" t="s">
        <v>57</v>
      </c>
      <c r="F308" s="2" t="s">
        <v>21</v>
      </c>
      <c r="G308" s="3" t="str">
        <f t="shared" si="1"/>
        <v>P2 - This week</v>
      </c>
      <c r="H308" s="4" t="s">
        <v>543</v>
      </c>
    </row>
    <row r="309" ht="15.75" customHeight="1">
      <c r="A309" s="2" t="s">
        <v>544</v>
      </c>
      <c r="B309" s="2" t="s">
        <v>45</v>
      </c>
      <c r="C309" s="2" t="s">
        <v>36</v>
      </c>
      <c r="D309" s="2" t="s">
        <v>37</v>
      </c>
      <c r="E309" s="2" t="s">
        <v>57</v>
      </c>
      <c r="F309" s="2" t="s">
        <v>21</v>
      </c>
      <c r="G309" s="3" t="str">
        <f t="shared" si="1"/>
        <v>P2 - This week</v>
      </c>
      <c r="H309" s="4" t="s">
        <v>545</v>
      </c>
    </row>
    <row r="310" ht="15.75" customHeight="1">
      <c r="A310" s="2" t="s">
        <v>546</v>
      </c>
      <c r="B310" s="2" t="s">
        <v>45</v>
      </c>
      <c r="C310" s="2" t="s">
        <v>36</v>
      </c>
      <c r="D310" s="2" t="s">
        <v>37</v>
      </c>
      <c r="E310" s="2" t="s">
        <v>57</v>
      </c>
      <c r="F310" s="2" t="s">
        <v>21</v>
      </c>
      <c r="G310" s="3" t="str">
        <f t="shared" si="1"/>
        <v>P2 - This week</v>
      </c>
      <c r="H310" s="4" t="s">
        <v>547</v>
      </c>
    </row>
    <row r="311" ht="15.75" customHeight="1">
      <c r="A311" s="2" t="s">
        <v>548</v>
      </c>
      <c r="B311" s="2" t="s">
        <v>45</v>
      </c>
      <c r="C311" s="2" t="s">
        <v>36</v>
      </c>
      <c r="D311" s="2" t="s">
        <v>37</v>
      </c>
      <c r="E311" s="2" t="s">
        <v>57</v>
      </c>
      <c r="F311" s="2" t="s">
        <v>21</v>
      </c>
      <c r="G311" s="3" t="str">
        <f t="shared" si="1"/>
        <v>P2 - This week</v>
      </c>
      <c r="H311" s="4" t="s">
        <v>549</v>
      </c>
    </row>
    <row r="312" ht="15.75" customHeight="1">
      <c r="A312" s="2" t="s">
        <v>550</v>
      </c>
      <c r="B312" s="2" t="s">
        <v>45</v>
      </c>
      <c r="C312" s="2" t="s">
        <v>36</v>
      </c>
      <c r="D312" s="2" t="s">
        <v>37</v>
      </c>
      <c r="E312" s="2" t="s">
        <v>57</v>
      </c>
      <c r="F312" s="2" t="s">
        <v>21</v>
      </c>
      <c r="G312" s="3" t="str">
        <f t="shared" si="1"/>
        <v>P2 - This week</v>
      </c>
      <c r="H312" s="4" t="s">
        <v>551</v>
      </c>
    </row>
    <row r="313" ht="15.75" customHeight="1">
      <c r="A313" s="2" t="s">
        <v>552</v>
      </c>
      <c r="B313" s="2" t="s">
        <v>45</v>
      </c>
      <c r="C313" s="2" t="s">
        <v>36</v>
      </c>
      <c r="D313" s="2" t="s">
        <v>37</v>
      </c>
      <c r="E313" s="2" t="s">
        <v>57</v>
      </c>
      <c r="F313" s="2" t="s">
        <v>21</v>
      </c>
      <c r="G313" s="3" t="str">
        <f t="shared" si="1"/>
        <v>P2 - This week</v>
      </c>
      <c r="H313" s="4" t="s">
        <v>553</v>
      </c>
    </row>
    <row r="314" ht="15.75" customHeight="1">
      <c r="A314" s="2" t="s">
        <v>554</v>
      </c>
      <c r="B314" s="2" t="s">
        <v>45</v>
      </c>
      <c r="C314" s="2" t="s">
        <v>36</v>
      </c>
      <c r="D314" s="2" t="s">
        <v>37</v>
      </c>
      <c r="E314" s="2" t="s">
        <v>57</v>
      </c>
      <c r="F314" s="2" t="s">
        <v>21</v>
      </c>
      <c r="G314" s="3" t="str">
        <f t="shared" si="1"/>
        <v>P2 - This week</v>
      </c>
      <c r="H314" s="4" t="s">
        <v>555</v>
      </c>
    </row>
    <row r="315" ht="15.75" customHeight="1">
      <c r="A315" s="2" t="s">
        <v>556</v>
      </c>
      <c r="B315" s="2" t="s">
        <v>45</v>
      </c>
      <c r="C315" s="2" t="s">
        <v>36</v>
      </c>
      <c r="D315" s="2" t="s">
        <v>37</v>
      </c>
      <c r="E315" s="2" t="s">
        <v>57</v>
      </c>
      <c r="F315" s="2" t="s">
        <v>21</v>
      </c>
      <c r="G315" s="3" t="str">
        <f t="shared" si="1"/>
        <v>P2 - This week</v>
      </c>
      <c r="H315" s="4" t="s">
        <v>557</v>
      </c>
    </row>
    <row r="316" ht="15.75" customHeight="1">
      <c r="A316" s="2" t="s">
        <v>558</v>
      </c>
      <c r="B316" s="2" t="s">
        <v>45</v>
      </c>
      <c r="C316" s="2" t="s">
        <v>36</v>
      </c>
      <c r="D316" s="2" t="s">
        <v>37</v>
      </c>
      <c r="E316" s="2" t="s">
        <v>57</v>
      </c>
      <c r="F316" s="2" t="s">
        <v>21</v>
      </c>
      <c r="G316" s="3" t="str">
        <f t="shared" si="1"/>
        <v>P2 - This week</v>
      </c>
      <c r="H316" s="4" t="s">
        <v>559</v>
      </c>
    </row>
    <row r="317" ht="15.75" customHeight="1">
      <c r="A317" s="2" t="s">
        <v>560</v>
      </c>
      <c r="B317" s="2" t="s">
        <v>45</v>
      </c>
      <c r="C317" s="2" t="s">
        <v>36</v>
      </c>
      <c r="D317" s="2" t="s">
        <v>37</v>
      </c>
      <c r="E317" s="2" t="s">
        <v>57</v>
      </c>
      <c r="F317" s="2" t="s">
        <v>21</v>
      </c>
      <c r="G317" s="3" t="str">
        <f t="shared" si="1"/>
        <v>P2 - This week</v>
      </c>
      <c r="H317" s="4" t="s">
        <v>561</v>
      </c>
    </row>
    <row r="318" ht="15.75" customHeight="1">
      <c r="A318" s="2" t="s">
        <v>562</v>
      </c>
      <c r="B318" s="2" t="s">
        <v>45</v>
      </c>
      <c r="C318" s="2" t="s">
        <v>36</v>
      </c>
      <c r="D318" s="2" t="s">
        <v>37</v>
      </c>
      <c r="E318" s="2" t="s">
        <v>57</v>
      </c>
      <c r="F318" s="2" t="s">
        <v>21</v>
      </c>
      <c r="G318" s="3" t="str">
        <f t="shared" si="1"/>
        <v>P2 - This week</v>
      </c>
      <c r="H318" s="4" t="s">
        <v>563</v>
      </c>
    </row>
    <row r="319" ht="15.75" customHeight="1">
      <c r="A319" s="2" t="s">
        <v>564</v>
      </c>
      <c r="B319" s="2" t="s">
        <v>45</v>
      </c>
      <c r="C319" s="2" t="s">
        <v>36</v>
      </c>
      <c r="D319" s="2" t="s">
        <v>37</v>
      </c>
      <c r="E319" s="2" t="s">
        <v>57</v>
      </c>
      <c r="F319" s="2" t="s">
        <v>21</v>
      </c>
      <c r="G319" s="3" t="str">
        <f t="shared" si="1"/>
        <v>P2 - This week</v>
      </c>
      <c r="H319" s="4" t="s">
        <v>565</v>
      </c>
    </row>
    <row r="320" ht="15.75" customHeight="1">
      <c r="A320" s="2" t="s">
        <v>566</v>
      </c>
      <c r="B320" s="2" t="s">
        <v>45</v>
      </c>
      <c r="C320" s="2" t="s">
        <v>36</v>
      </c>
      <c r="D320" s="2" t="s">
        <v>37</v>
      </c>
      <c r="E320" s="2" t="s">
        <v>57</v>
      </c>
      <c r="F320" s="2" t="s">
        <v>21</v>
      </c>
      <c r="G320" s="3" t="str">
        <f t="shared" si="1"/>
        <v>P2 - This week</v>
      </c>
      <c r="H320" s="4" t="s">
        <v>567</v>
      </c>
    </row>
    <row r="321" ht="15.75" customHeight="1">
      <c r="A321" s="2" t="s">
        <v>568</v>
      </c>
      <c r="B321" s="2" t="s">
        <v>45</v>
      </c>
      <c r="C321" s="2" t="s">
        <v>36</v>
      </c>
      <c r="D321" s="2" t="s">
        <v>37</v>
      </c>
      <c r="E321" s="2" t="s">
        <v>57</v>
      </c>
      <c r="F321" s="2" t="s">
        <v>21</v>
      </c>
      <c r="G321" s="3" t="str">
        <f t="shared" si="1"/>
        <v>P2 - This week</v>
      </c>
      <c r="H321" s="4" t="s">
        <v>569</v>
      </c>
    </row>
    <row r="322" ht="15.75" customHeight="1">
      <c r="A322" s="2" t="s">
        <v>570</v>
      </c>
      <c r="B322" s="2" t="s">
        <v>45</v>
      </c>
      <c r="C322" s="2" t="s">
        <v>36</v>
      </c>
      <c r="D322" s="2" t="s">
        <v>37</v>
      </c>
      <c r="E322" s="2" t="s">
        <v>57</v>
      </c>
      <c r="F322" s="2" t="s">
        <v>21</v>
      </c>
      <c r="G322" s="3" t="str">
        <f t="shared" si="1"/>
        <v>P2 - This week</v>
      </c>
      <c r="H322" s="4" t="s">
        <v>571</v>
      </c>
    </row>
    <row r="323" ht="15.75" customHeight="1">
      <c r="A323" s="2" t="s">
        <v>572</v>
      </c>
      <c r="B323" s="2" t="s">
        <v>45</v>
      </c>
      <c r="C323" s="2" t="s">
        <v>36</v>
      </c>
      <c r="D323" s="2" t="s">
        <v>37</v>
      </c>
      <c r="E323" s="2" t="s">
        <v>57</v>
      </c>
      <c r="F323" s="2" t="s">
        <v>21</v>
      </c>
      <c r="G323" s="3" t="str">
        <f t="shared" si="1"/>
        <v>P2 - This week</v>
      </c>
      <c r="H323" s="4" t="s">
        <v>573</v>
      </c>
    </row>
    <row r="324" ht="15.75" customHeight="1">
      <c r="A324" s="2" t="s">
        <v>574</v>
      </c>
      <c r="B324" s="2" t="s">
        <v>45</v>
      </c>
      <c r="C324" s="2" t="s">
        <v>36</v>
      </c>
      <c r="D324" s="2" t="s">
        <v>37</v>
      </c>
      <c r="E324" s="2" t="s">
        <v>57</v>
      </c>
      <c r="F324" s="2" t="s">
        <v>21</v>
      </c>
      <c r="G324" s="3" t="str">
        <f t="shared" si="1"/>
        <v>P2 - This week</v>
      </c>
      <c r="H324" s="4" t="s">
        <v>575</v>
      </c>
    </row>
    <row r="325" ht="15.75" customHeight="1">
      <c r="A325" s="2" t="s">
        <v>576</v>
      </c>
      <c r="B325" s="2" t="s">
        <v>45</v>
      </c>
      <c r="C325" s="2" t="s">
        <v>36</v>
      </c>
      <c r="D325" s="2" t="s">
        <v>37</v>
      </c>
      <c r="E325" s="2" t="s">
        <v>57</v>
      </c>
      <c r="F325" s="2" t="s">
        <v>21</v>
      </c>
      <c r="G325" s="3" t="str">
        <f t="shared" si="1"/>
        <v>P2 - This week</v>
      </c>
      <c r="H325" s="4" t="s">
        <v>577</v>
      </c>
    </row>
    <row r="326" ht="15.75" customHeight="1">
      <c r="A326" s="2" t="s">
        <v>578</v>
      </c>
      <c r="B326" s="2" t="s">
        <v>45</v>
      </c>
      <c r="C326" s="2" t="s">
        <v>36</v>
      </c>
      <c r="D326" s="2" t="s">
        <v>37</v>
      </c>
      <c r="E326" s="2" t="s">
        <v>57</v>
      </c>
      <c r="F326" s="2" t="s">
        <v>21</v>
      </c>
      <c r="G326" s="3" t="str">
        <f t="shared" si="1"/>
        <v>P2 - This week</v>
      </c>
      <c r="H326" s="4" t="s">
        <v>579</v>
      </c>
    </row>
    <row r="327" ht="15.75" customHeight="1">
      <c r="A327" s="2" t="s">
        <v>580</v>
      </c>
      <c r="B327" s="2" t="s">
        <v>45</v>
      </c>
      <c r="C327" s="2" t="s">
        <v>36</v>
      </c>
      <c r="D327" s="2" t="s">
        <v>37</v>
      </c>
      <c r="E327" s="2" t="s">
        <v>57</v>
      </c>
      <c r="F327" s="2" t="s">
        <v>21</v>
      </c>
      <c r="G327" s="3" t="str">
        <f t="shared" si="1"/>
        <v>P2 - This week</v>
      </c>
      <c r="H327" s="4" t="s">
        <v>581</v>
      </c>
    </row>
    <row r="328" ht="15.75" customHeight="1">
      <c r="A328" s="2" t="s">
        <v>582</v>
      </c>
      <c r="B328" s="2" t="s">
        <v>45</v>
      </c>
      <c r="C328" s="2" t="s">
        <v>36</v>
      </c>
      <c r="D328" s="2" t="s">
        <v>37</v>
      </c>
      <c r="E328" s="2" t="s">
        <v>57</v>
      </c>
      <c r="F328" s="2" t="s">
        <v>21</v>
      </c>
      <c r="G328" s="3" t="str">
        <f t="shared" si="1"/>
        <v>P2 - This week</v>
      </c>
      <c r="H328" s="4" t="s">
        <v>583</v>
      </c>
    </row>
    <row r="329" ht="15.75" customHeight="1">
      <c r="A329" s="2" t="s">
        <v>584</v>
      </c>
      <c r="B329" s="2" t="s">
        <v>45</v>
      </c>
      <c r="C329" s="2" t="s">
        <v>36</v>
      </c>
      <c r="D329" s="2" t="s">
        <v>37</v>
      </c>
      <c r="E329" s="2" t="s">
        <v>57</v>
      </c>
      <c r="F329" s="2" t="s">
        <v>21</v>
      </c>
      <c r="G329" s="3" t="str">
        <f t="shared" si="1"/>
        <v>P2 - This week</v>
      </c>
      <c r="H329" s="4" t="s">
        <v>585</v>
      </c>
    </row>
    <row r="330" ht="15.75" customHeight="1">
      <c r="A330" s="2" t="s">
        <v>586</v>
      </c>
      <c r="B330" s="2" t="s">
        <v>45</v>
      </c>
      <c r="C330" s="2" t="s">
        <v>36</v>
      </c>
      <c r="D330" s="2" t="s">
        <v>37</v>
      </c>
      <c r="E330" s="2" t="s">
        <v>57</v>
      </c>
      <c r="F330" s="2" t="s">
        <v>21</v>
      </c>
      <c r="G330" s="3" t="str">
        <f t="shared" si="1"/>
        <v>P2 - This week</v>
      </c>
      <c r="H330" s="4" t="s">
        <v>587</v>
      </c>
    </row>
    <row r="331" ht="15.75" customHeight="1">
      <c r="A331" s="2" t="s">
        <v>588</v>
      </c>
      <c r="B331" s="2" t="s">
        <v>45</v>
      </c>
      <c r="C331" s="2" t="s">
        <v>36</v>
      </c>
      <c r="D331" s="2" t="s">
        <v>37</v>
      </c>
      <c r="E331" s="2" t="s">
        <v>57</v>
      </c>
      <c r="F331" s="2" t="s">
        <v>21</v>
      </c>
      <c r="G331" s="3" t="str">
        <f t="shared" si="1"/>
        <v>P2 - This week</v>
      </c>
      <c r="H331" s="4" t="s">
        <v>589</v>
      </c>
    </row>
    <row r="332" ht="15.75" customHeight="1">
      <c r="A332" s="2" t="s">
        <v>590</v>
      </c>
      <c r="B332" s="2" t="s">
        <v>45</v>
      </c>
      <c r="C332" s="2" t="s">
        <v>36</v>
      </c>
      <c r="D332" s="2" t="s">
        <v>37</v>
      </c>
      <c r="E332" s="2" t="s">
        <v>57</v>
      </c>
      <c r="F332" s="2" t="s">
        <v>21</v>
      </c>
      <c r="G332" s="3" t="str">
        <f t="shared" si="1"/>
        <v>P2 - This week</v>
      </c>
      <c r="H332" s="4" t="s">
        <v>591</v>
      </c>
    </row>
    <row r="333" ht="15.75" customHeight="1">
      <c r="A333" s="2" t="s">
        <v>592</v>
      </c>
      <c r="B333" s="2" t="s">
        <v>45</v>
      </c>
      <c r="C333" s="2" t="s">
        <v>36</v>
      </c>
      <c r="D333" s="2" t="s">
        <v>37</v>
      </c>
      <c r="E333" s="2" t="s">
        <v>57</v>
      </c>
      <c r="F333" s="2" t="s">
        <v>21</v>
      </c>
      <c r="G333" s="3" t="str">
        <f t="shared" si="1"/>
        <v>P2 - This week</v>
      </c>
      <c r="H333" s="4" t="s">
        <v>593</v>
      </c>
    </row>
    <row r="334" ht="15.75" customHeight="1">
      <c r="A334" s="2" t="s">
        <v>594</v>
      </c>
      <c r="B334" s="2" t="s">
        <v>45</v>
      </c>
      <c r="C334" s="2" t="s">
        <v>36</v>
      </c>
      <c r="D334" s="2" t="s">
        <v>37</v>
      </c>
      <c r="E334" s="2" t="s">
        <v>57</v>
      </c>
      <c r="F334" s="2" t="s">
        <v>21</v>
      </c>
      <c r="G334" s="3" t="str">
        <f t="shared" si="1"/>
        <v>P2 - This week</v>
      </c>
      <c r="H334" s="4" t="s">
        <v>595</v>
      </c>
    </row>
    <row r="335" ht="15.75" customHeight="1">
      <c r="A335" s="2" t="s">
        <v>596</v>
      </c>
      <c r="B335" s="2" t="s">
        <v>45</v>
      </c>
      <c r="C335" s="2" t="s">
        <v>36</v>
      </c>
      <c r="D335" s="2" t="s">
        <v>37</v>
      </c>
      <c r="E335" s="2" t="s">
        <v>57</v>
      </c>
      <c r="F335" s="2" t="s">
        <v>21</v>
      </c>
      <c r="G335" s="3" t="str">
        <f t="shared" si="1"/>
        <v>P2 - This week</v>
      </c>
      <c r="H335" s="4" t="s">
        <v>597</v>
      </c>
    </row>
    <row r="336" ht="15.75" customHeight="1">
      <c r="A336" s="2" t="s">
        <v>598</v>
      </c>
      <c r="B336" s="2" t="s">
        <v>45</v>
      </c>
      <c r="C336" s="2" t="s">
        <v>36</v>
      </c>
      <c r="D336" s="2" t="s">
        <v>37</v>
      </c>
      <c r="E336" s="2" t="s">
        <v>57</v>
      </c>
      <c r="F336" s="2" t="s">
        <v>21</v>
      </c>
      <c r="G336" s="3" t="str">
        <f t="shared" si="1"/>
        <v>P2 - This week</v>
      </c>
      <c r="H336" s="4" t="s">
        <v>599</v>
      </c>
    </row>
    <row r="337" ht="15.75" customHeight="1">
      <c r="A337" s="2" t="s">
        <v>600</v>
      </c>
      <c r="B337" s="2" t="s">
        <v>45</v>
      </c>
      <c r="C337" s="2" t="s">
        <v>36</v>
      </c>
      <c r="D337" s="2" t="s">
        <v>37</v>
      </c>
      <c r="E337" s="2" t="s">
        <v>57</v>
      </c>
      <c r="F337" s="2" t="s">
        <v>21</v>
      </c>
      <c r="G337" s="3" t="str">
        <f t="shared" si="1"/>
        <v>P2 - This week</v>
      </c>
      <c r="H337" s="4" t="s">
        <v>601</v>
      </c>
    </row>
    <row r="338" ht="15.75" customHeight="1">
      <c r="A338" s="2" t="s">
        <v>602</v>
      </c>
      <c r="B338" s="2" t="s">
        <v>45</v>
      </c>
      <c r="C338" s="2" t="s">
        <v>36</v>
      </c>
      <c r="D338" s="2" t="s">
        <v>37</v>
      </c>
      <c r="E338" s="2" t="s">
        <v>57</v>
      </c>
      <c r="F338" s="2" t="s">
        <v>21</v>
      </c>
      <c r="G338" s="3" t="str">
        <f t="shared" si="1"/>
        <v>P2 - This week</v>
      </c>
      <c r="H338" s="4" t="s">
        <v>603</v>
      </c>
    </row>
    <row r="339" ht="15.75" customHeight="1">
      <c r="A339" s="2" t="s">
        <v>604</v>
      </c>
      <c r="B339" s="2" t="s">
        <v>45</v>
      </c>
      <c r="C339" s="2" t="s">
        <v>36</v>
      </c>
      <c r="D339" s="2" t="s">
        <v>37</v>
      </c>
      <c r="E339" s="2" t="s">
        <v>57</v>
      </c>
      <c r="F339" s="2" t="s">
        <v>21</v>
      </c>
      <c r="G339" s="3" t="str">
        <f t="shared" si="1"/>
        <v>P2 - This week</v>
      </c>
      <c r="H339" s="4" t="s">
        <v>605</v>
      </c>
    </row>
    <row r="340" ht="15.75" customHeight="1">
      <c r="A340" s="2" t="s">
        <v>606</v>
      </c>
      <c r="B340" s="2" t="s">
        <v>45</v>
      </c>
      <c r="C340" s="2" t="s">
        <v>36</v>
      </c>
      <c r="D340" s="2" t="s">
        <v>37</v>
      </c>
      <c r="E340" s="2" t="s">
        <v>57</v>
      </c>
      <c r="F340" s="2" t="s">
        <v>21</v>
      </c>
      <c r="G340" s="3" t="str">
        <f t="shared" si="1"/>
        <v>P2 - This week</v>
      </c>
      <c r="H340" s="4" t="s">
        <v>607</v>
      </c>
    </row>
    <row r="341" ht="15.75" customHeight="1">
      <c r="A341" s="2" t="s">
        <v>608</v>
      </c>
      <c r="B341" s="2" t="s">
        <v>45</v>
      </c>
      <c r="C341" s="2" t="s">
        <v>36</v>
      </c>
      <c r="D341" s="2" t="s">
        <v>37</v>
      </c>
      <c r="E341" s="2" t="s">
        <v>57</v>
      </c>
      <c r="F341" s="2" t="s">
        <v>21</v>
      </c>
      <c r="G341" s="3" t="str">
        <f t="shared" si="1"/>
        <v>P2 - This week</v>
      </c>
      <c r="H341" s="4" t="s">
        <v>609</v>
      </c>
    </row>
    <row r="342" ht="15.75" customHeight="1">
      <c r="A342" s="2" t="s">
        <v>610</v>
      </c>
      <c r="B342" s="2" t="s">
        <v>45</v>
      </c>
      <c r="C342" s="2" t="s">
        <v>36</v>
      </c>
      <c r="D342" s="2" t="s">
        <v>37</v>
      </c>
      <c r="E342" s="2" t="s">
        <v>57</v>
      </c>
      <c r="F342" s="2" t="s">
        <v>21</v>
      </c>
      <c r="G342" s="3" t="str">
        <f t="shared" si="1"/>
        <v>P2 - This week</v>
      </c>
      <c r="H342" s="4" t="s">
        <v>611</v>
      </c>
    </row>
    <row r="343" ht="15.75" customHeight="1">
      <c r="A343" s="2" t="s">
        <v>612</v>
      </c>
      <c r="B343" s="2" t="s">
        <v>45</v>
      </c>
      <c r="C343" s="2" t="s">
        <v>36</v>
      </c>
      <c r="D343" s="2" t="s">
        <v>37</v>
      </c>
      <c r="E343" s="2" t="s">
        <v>57</v>
      </c>
      <c r="F343" s="2" t="s">
        <v>21</v>
      </c>
      <c r="G343" s="3" t="str">
        <f t="shared" si="1"/>
        <v>P2 - This week</v>
      </c>
      <c r="H343" s="4" t="s">
        <v>613</v>
      </c>
    </row>
    <row r="344" ht="15.75" customHeight="1">
      <c r="A344" s="2" t="s">
        <v>614</v>
      </c>
      <c r="B344" s="2" t="s">
        <v>45</v>
      </c>
      <c r="C344" s="2" t="s">
        <v>36</v>
      </c>
      <c r="D344" s="2" t="s">
        <v>37</v>
      </c>
      <c r="E344" s="2" t="s">
        <v>57</v>
      </c>
      <c r="F344" s="2" t="s">
        <v>21</v>
      </c>
      <c r="G344" s="3" t="str">
        <f t="shared" si="1"/>
        <v>P2 - This week</v>
      </c>
      <c r="H344" s="4" t="s">
        <v>615</v>
      </c>
    </row>
    <row r="345" ht="15.75" customHeight="1">
      <c r="A345" s="2" t="s">
        <v>616</v>
      </c>
      <c r="B345" s="2" t="s">
        <v>45</v>
      </c>
      <c r="C345" s="2" t="s">
        <v>36</v>
      </c>
      <c r="D345" s="2" t="s">
        <v>37</v>
      </c>
      <c r="E345" s="2" t="s">
        <v>57</v>
      </c>
      <c r="F345" s="2" t="s">
        <v>21</v>
      </c>
      <c r="G345" s="3" t="str">
        <f t="shared" si="1"/>
        <v>P2 - This week</v>
      </c>
      <c r="H345" s="4" t="s">
        <v>617</v>
      </c>
    </row>
    <row r="346" ht="15.75" customHeight="1">
      <c r="A346" s="2" t="s">
        <v>618</v>
      </c>
      <c r="B346" s="2" t="s">
        <v>45</v>
      </c>
      <c r="C346" s="2" t="s">
        <v>36</v>
      </c>
      <c r="D346" s="2" t="s">
        <v>37</v>
      </c>
      <c r="E346" s="2" t="s">
        <v>57</v>
      </c>
      <c r="F346" s="2" t="s">
        <v>21</v>
      </c>
      <c r="G346" s="3" t="str">
        <f t="shared" si="1"/>
        <v>P2 - This week</v>
      </c>
      <c r="H346" s="4" t="s">
        <v>619</v>
      </c>
    </row>
    <row r="347" ht="15.75" customHeight="1">
      <c r="A347" s="2" t="s">
        <v>620</v>
      </c>
      <c r="B347" s="2" t="s">
        <v>45</v>
      </c>
      <c r="C347" s="2" t="s">
        <v>36</v>
      </c>
      <c r="D347" s="2" t="s">
        <v>37</v>
      </c>
      <c r="E347" s="2" t="s">
        <v>57</v>
      </c>
      <c r="F347" s="2" t="s">
        <v>21</v>
      </c>
      <c r="G347" s="3" t="str">
        <f t="shared" si="1"/>
        <v>P2 - This week</v>
      </c>
      <c r="H347" s="4" t="s">
        <v>621</v>
      </c>
    </row>
    <row r="348" ht="15.75" customHeight="1">
      <c r="A348" s="2" t="s">
        <v>622</v>
      </c>
      <c r="B348" s="2" t="s">
        <v>45</v>
      </c>
      <c r="C348" s="2" t="s">
        <v>36</v>
      </c>
      <c r="D348" s="2" t="s">
        <v>37</v>
      </c>
      <c r="E348" s="2" t="s">
        <v>57</v>
      </c>
      <c r="F348" s="2" t="s">
        <v>21</v>
      </c>
      <c r="G348" s="3" t="str">
        <f t="shared" si="1"/>
        <v>P2 - This week</v>
      </c>
      <c r="H348" s="4" t="s">
        <v>623</v>
      </c>
    </row>
    <row r="349" ht="15.75" customHeight="1">
      <c r="A349" s="2" t="s">
        <v>624</v>
      </c>
      <c r="B349" s="2" t="s">
        <v>45</v>
      </c>
      <c r="C349" s="2" t="s">
        <v>36</v>
      </c>
      <c r="D349" s="2" t="s">
        <v>37</v>
      </c>
      <c r="E349" s="2" t="s">
        <v>57</v>
      </c>
      <c r="F349" s="2" t="s">
        <v>21</v>
      </c>
      <c r="G349" s="3" t="str">
        <f t="shared" si="1"/>
        <v>P2 - This week</v>
      </c>
      <c r="H349" s="4" t="s">
        <v>625</v>
      </c>
    </row>
    <row r="350" ht="15.75" customHeight="1">
      <c r="A350" s="2" t="s">
        <v>626</v>
      </c>
      <c r="B350" s="2" t="s">
        <v>45</v>
      </c>
      <c r="C350" s="2" t="s">
        <v>36</v>
      </c>
      <c r="D350" s="2" t="s">
        <v>37</v>
      </c>
      <c r="E350" s="2" t="s">
        <v>57</v>
      </c>
      <c r="F350" s="2" t="s">
        <v>21</v>
      </c>
      <c r="G350" s="3" t="str">
        <f t="shared" si="1"/>
        <v>P2 - This week</v>
      </c>
      <c r="H350" s="4" t="s">
        <v>627</v>
      </c>
    </row>
    <row r="351" ht="15.75" customHeight="1">
      <c r="A351" s="2" t="s">
        <v>628</v>
      </c>
      <c r="B351" s="2" t="s">
        <v>45</v>
      </c>
      <c r="C351" s="2" t="s">
        <v>36</v>
      </c>
      <c r="D351" s="2" t="s">
        <v>37</v>
      </c>
      <c r="E351" s="2" t="s">
        <v>57</v>
      </c>
      <c r="F351" s="2" t="s">
        <v>21</v>
      </c>
      <c r="G351" s="3" t="str">
        <f t="shared" si="1"/>
        <v>P2 - This week</v>
      </c>
      <c r="H351" s="4" t="s">
        <v>629</v>
      </c>
    </row>
    <row r="352" ht="15.75" customHeight="1">
      <c r="A352" s="2" t="s">
        <v>630</v>
      </c>
      <c r="B352" s="2" t="s">
        <v>45</v>
      </c>
      <c r="C352" s="2" t="s">
        <v>36</v>
      </c>
      <c r="D352" s="2" t="s">
        <v>37</v>
      </c>
      <c r="E352" s="2" t="s">
        <v>57</v>
      </c>
      <c r="F352" s="2" t="s">
        <v>21</v>
      </c>
      <c r="G352" s="3" t="str">
        <f t="shared" si="1"/>
        <v>P2 - This week</v>
      </c>
      <c r="H352" s="4" t="s">
        <v>631</v>
      </c>
    </row>
    <row r="353" ht="15.75" customHeight="1">
      <c r="A353" s="2" t="s">
        <v>632</v>
      </c>
      <c r="B353" s="2" t="s">
        <v>45</v>
      </c>
      <c r="C353" s="2" t="s">
        <v>36</v>
      </c>
      <c r="D353" s="2" t="s">
        <v>37</v>
      </c>
      <c r="E353" s="2" t="s">
        <v>57</v>
      </c>
      <c r="F353" s="2" t="s">
        <v>21</v>
      </c>
      <c r="G353" s="3" t="str">
        <f t="shared" si="1"/>
        <v>P2 - This week</v>
      </c>
      <c r="H353" s="4" t="s">
        <v>633</v>
      </c>
    </row>
    <row r="354" ht="15.75" customHeight="1">
      <c r="A354" s="2" t="s">
        <v>634</v>
      </c>
      <c r="B354" s="2" t="s">
        <v>45</v>
      </c>
      <c r="C354" s="2" t="s">
        <v>36</v>
      </c>
      <c r="D354" s="2" t="s">
        <v>37</v>
      </c>
      <c r="E354" s="2" t="s">
        <v>57</v>
      </c>
      <c r="F354" s="2" t="s">
        <v>21</v>
      </c>
      <c r="G354" s="3" t="str">
        <f t="shared" si="1"/>
        <v>P2 - This week</v>
      </c>
      <c r="H354" s="4" t="s">
        <v>635</v>
      </c>
    </row>
    <row r="355" ht="15.75" customHeight="1">
      <c r="A355" s="2" t="s">
        <v>636</v>
      </c>
      <c r="B355" s="2" t="s">
        <v>45</v>
      </c>
      <c r="C355" s="2" t="s">
        <v>36</v>
      </c>
      <c r="D355" s="2" t="s">
        <v>37</v>
      </c>
      <c r="E355" s="2" t="s">
        <v>57</v>
      </c>
      <c r="F355" s="2" t="s">
        <v>21</v>
      </c>
      <c r="G355" s="3" t="str">
        <f t="shared" si="1"/>
        <v>P2 - This week</v>
      </c>
      <c r="H355" s="4" t="s">
        <v>637</v>
      </c>
    </row>
    <row r="356" ht="15.75" customHeight="1">
      <c r="A356" s="2" t="s">
        <v>638</v>
      </c>
      <c r="B356" s="2" t="s">
        <v>45</v>
      </c>
      <c r="C356" s="2" t="s">
        <v>36</v>
      </c>
      <c r="D356" s="2" t="s">
        <v>37</v>
      </c>
      <c r="E356" s="2" t="s">
        <v>57</v>
      </c>
      <c r="F356" s="2" t="s">
        <v>21</v>
      </c>
      <c r="G356" s="3" t="str">
        <f t="shared" si="1"/>
        <v>P2 - This week</v>
      </c>
      <c r="H356" s="4" t="s">
        <v>639</v>
      </c>
    </row>
    <row r="357" ht="15.75" customHeight="1">
      <c r="A357" s="2" t="s">
        <v>640</v>
      </c>
      <c r="B357" s="2" t="s">
        <v>45</v>
      </c>
      <c r="C357" s="2" t="s">
        <v>36</v>
      </c>
      <c r="D357" s="2" t="s">
        <v>37</v>
      </c>
      <c r="E357" s="2" t="s">
        <v>57</v>
      </c>
      <c r="F357" s="2" t="s">
        <v>21</v>
      </c>
      <c r="G357" s="3" t="str">
        <f t="shared" si="1"/>
        <v>P2 - This week</v>
      </c>
      <c r="H357" s="4" t="s">
        <v>641</v>
      </c>
    </row>
    <row r="358" ht="15.75" customHeight="1">
      <c r="A358" s="2" t="s">
        <v>642</v>
      </c>
      <c r="B358" s="2" t="s">
        <v>45</v>
      </c>
      <c r="C358" s="2" t="s">
        <v>36</v>
      </c>
      <c r="D358" s="2" t="s">
        <v>37</v>
      </c>
      <c r="E358" s="2" t="s">
        <v>57</v>
      </c>
      <c r="F358" s="2" t="s">
        <v>21</v>
      </c>
      <c r="G358" s="3" t="str">
        <f t="shared" si="1"/>
        <v>P2 - This week</v>
      </c>
      <c r="H358" s="4" t="s">
        <v>643</v>
      </c>
    </row>
    <row r="359" ht="15.75" customHeight="1">
      <c r="A359" s="2" t="s">
        <v>644</v>
      </c>
      <c r="B359" s="2" t="s">
        <v>45</v>
      </c>
      <c r="C359" s="2" t="s">
        <v>36</v>
      </c>
      <c r="D359" s="2" t="s">
        <v>37</v>
      </c>
      <c r="E359" s="2" t="s">
        <v>57</v>
      </c>
      <c r="F359" s="2" t="s">
        <v>21</v>
      </c>
      <c r="G359" s="3" t="str">
        <f t="shared" si="1"/>
        <v>P2 - This week</v>
      </c>
      <c r="H359" s="4" t="s">
        <v>645</v>
      </c>
    </row>
    <row r="360" ht="15.75" customHeight="1">
      <c r="A360" s="2" t="s">
        <v>646</v>
      </c>
      <c r="B360" s="2" t="s">
        <v>45</v>
      </c>
      <c r="C360" s="2" t="s">
        <v>36</v>
      </c>
      <c r="D360" s="2" t="s">
        <v>37</v>
      </c>
      <c r="E360" s="2" t="s">
        <v>57</v>
      </c>
      <c r="F360" s="2" t="s">
        <v>21</v>
      </c>
      <c r="G360" s="3" t="str">
        <f t="shared" si="1"/>
        <v>P2 - This week</v>
      </c>
      <c r="H360" s="4" t="s">
        <v>647</v>
      </c>
    </row>
    <row r="361" ht="15.75" customHeight="1">
      <c r="A361" s="2" t="s">
        <v>648</v>
      </c>
      <c r="B361" s="2" t="s">
        <v>45</v>
      </c>
      <c r="C361" s="2" t="s">
        <v>36</v>
      </c>
      <c r="D361" s="2" t="s">
        <v>37</v>
      </c>
      <c r="E361" s="2" t="s">
        <v>57</v>
      </c>
      <c r="F361" s="2" t="s">
        <v>21</v>
      </c>
      <c r="G361" s="3" t="str">
        <f t="shared" si="1"/>
        <v>P2 - This week</v>
      </c>
      <c r="H361" s="4" t="s">
        <v>649</v>
      </c>
    </row>
    <row r="362" ht="15.75" customHeight="1">
      <c r="A362" s="2" t="s">
        <v>650</v>
      </c>
      <c r="B362" s="2" t="s">
        <v>45</v>
      </c>
      <c r="C362" s="2" t="s">
        <v>36</v>
      </c>
      <c r="D362" s="2" t="s">
        <v>37</v>
      </c>
      <c r="E362" s="2" t="s">
        <v>57</v>
      </c>
      <c r="F362" s="2" t="s">
        <v>21</v>
      </c>
      <c r="G362" s="3" t="str">
        <f t="shared" si="1"/>
        <v>P2 - This week</v>
      </c>
      <c r="H362" s="4" t="s">
        <v>651</v>
      </c>
    </row>
    <row r="363" ht="15.75" customHeight="1">
      <c r="A363" s="2" t="s">
        <v>652</v>
      </c>
      <c r="B363" s="2" t="s">
        <v>45</v>
      </c>
      <c r="C363" s="2" t="s">
        <v>36</v>
      </c>
      <c r="D363" s="2" t="s">
        <v>37</v>
      </c>
      <c r="E363" s="2" t="s">
        <v>57</v>
      </c>
      <c r="F363" s="2" t="s">
        <v>21</v>
      </c>
      <c r="G363" s="3" t="str">
        <f t="shared" si="1"/>
        <v>P2 - This week</v>
      </c>
      <c r="H363" s="4" t="s">
        <v>653</v>
      </c>
    </row>
    <row r="364" ht="15.75" customHeight="1">
      <c r="A364" s="2" t="s">
        <v>654</v>
      </c>
      <c r="B364" s="2" t="s">
        <v>45</v>
      </c>
      <c r="C364" s="2" t="s">
        <v>36</v>
      </c>
      <c r="D364" s="2" t="s">
        <v>37</v>
      </c>
      <c r="E364" s="2" t="s">
        <v>57</v>
      </c>
      <c r="F364" s="2" t="s">
        <v>21</v>
      </c>
      <c r="G364" s="3" t="str">
        <f t="shared" si="1"/>
        <v>P2 - This week</v>
      </c>
      <c r="H364" s="4" t="s">
        <v>655</v>
      </c>
    </row>
    <row r="365" ht="15.75" customHeight="1">
      <c r="A365" s="2" t="s">
        <v>656</v>
      </c>
      <c r="B365" s="2" t="s">
        <v>45</v>
      </c>
      <c r="C365" s="2" t="s">
        <v>36</v>
      </c>
      <c r="D365" s="2" t="s">
        <v>37</v>
      </c>
      <c r="E365" s="2" t="s">
        <v>57</v>
      </c>
      <c r="F365" s="2" t="s">
        <v>21</v>
      </c>
      <c r="G365" s="3" t="str">
        <f t="shared" si="1"/>
        <v>P2 - This week</v>
      </c>
      <c r="H365" s="4" t="s">
        <v>657</v>
      </c>
    </row>
    <row r="366" ht="15.75" customHeight="1">
      <c r="A366" s="2" t="s">
        <v>658</v>
      </c>
      <c r="B366" s="2" t="s">
        <v>45</v>
      </c>
      <c r="C366" s="2" t="s">
        <v>36</v>
      </c>
      <c r="D366" s="2" t="s">
        <v>37</v>
      </c>
      <c r="E366" s="2" t="s">
        <v>57</v>
      </c>
      <c r="F366" s="2" t="s">
        <v>21</v>
      </c>
      <c r="G366" s="3" t="str">
        <f t="shared" si="1"/>
        <v>P2 - This week</v>
      </c>
      <c r="H366" s="4" t="s">
        <v>659</v>
      </c>
    </row>
    <row r="367" ht="15.75" customHeight="1">
      <c r="A367" s="2" t="s">
        <v>660</v>
      </c>
      <c r="B367" s="2" t="s">
        <v>45</v>
      </c>
      <c r="C367" s="2" t="s">
        <v>36</v>
      </c>
      <c r="D367" s="2" t="s">
        <v>37</v>
      </c>
      <c r="E367" s="2" t="s">
        <v>57</v>
      </c>
      <c r="F367" s="2" t="s">
        <v>21</v>
      </c>
      <c r="G367" s="3" t="str">
        <f t="shared" si="1"/>
        <v>P2 - This week</v>
      </c>
      <c r="H367" s="4" t="s">
        <v>661</v>
      </c>
    </row>
    <row r="368" ht="15.75" customHeight="1">
      <c r="A368" s="2" t="s">
        <v>662</v>
      </c>
      <c r="B368" s="2" t="s">
        <v>45</v>
      </c>
      <c r="C368" s="2" t="s">
        <v>36</v>
      </c>
      <c r="D368" s="2" t="s">
        <v>37</v>
      </c>
      <c r="E368" s="2" t="s">
        <v>57</v>
      </c>
      <c r="F368" s="2" t="s">
        <v>21</v>
      </c>
      <c r="G368" s="3" t="str">
        <f t="shared" si="1"/>
        <v>P2 - This week</v>
      </c>
      <c r="H368" s="4" t="s">
        <v>663</v>
      </c>
    </row>
    <row r="369" ht="15.75" customHeight="1">
      <c r="A369" s="2" t="s">
        <v>664</v>
      </c>
      <c r="B369" s="2" t="s">
        <v>45</v>
      </c>
      <c r="C369" s="2" t="s">
        <v>36</v>
      </c>
      <c r="D369" s="2" t="s">
        <v>37</v>
      </c>
      <c r="E369" s="2" t="s">
        <v>57</v>
      </c>
      <c r="F369" s="2" t="s">
        <v>21</v>
      </c>
      <c r="G369" s="3" t="str">
        <f t="shared" si="1"/>
        <v>P2 - This week</v>
      </c>
      <c r="H369" s="4" t="s">
        <v>665</v>
      </c>
    </row>
    <row r="370" ht="15.75" customHeight="1">
      <c r="A370" s="2" t="s">
        <v>666</v>
      </c>
      <c r="B370" s="2" t="s">
        <v>45</v>
      </c>
      <c r="C370" s="2" t="s">
        <v>36</v>
      </c>
      <c r="D370" s="2" t="s">
        <v>37</v>
      </c>
      <c r="E370" s="2" t="s">
        <v>57</v>
      </c>
      <c r="F370" s="2" t="s">
        <v>21</v>
      </c>
      <c r="G370" s="3" t="str">
        <f t="shared" si="1"/>
        <v>P2 - This week</v>
      </c>
      <c r="H370" s="4" t="s">
        <v>667</v>
      </c>
    </row>
    <row r="371" ht="15.75" customHeight="1">
      <c r="A371" s="2" t="s">
        <v>668</v>
      </c>
      <c r="B371" s="2" t="s">
        <v>45</v>
      </c>
      <c r="C371" s="2" t="s">
        <v>36</v>
      </c>
      <c r="D371" s="2" t="s">
        <v>37</v>
      </c>
      <c r="E371" s="2" t="s">
        <v>57</v>
      </c>
      <c r="F371" s="2" t="s">
        <v>21</v>
      </c>
      <c r="G371" s="3" t="str">
        <f t="shared" si="1"/>
        <v>P2 - This week</v>
      </c>
      <c r="H371" s="4" t="s">
        <v>669</v>
      </c>
    </row>
    <row r="372" ht="15.75" customHeight="1">
      <c r="A372" s="2" t="s">
        <v>670</v>
      </c>
      <c r="B372" s="2" t="s">
        <v>45</v>
      </c>
      <c r="C372" s="2" t="s">
        <v>36</v>
      </c>
      <c r="D372" s="2" t="s">
        <v>37</v>
      </c>
      <c r="E372" s="2" t="s">
        <v>57</v>
      </c>
      <c r="F372" s="2" t="s">
        <v>21</v>
      </c>
      <c r="G372" s="3" t="str">
        <f t="shared" si="1"/>
        <v>P2 - This week</v>
      </c>
      <c r="H372" s="4" t="s">
        <v>671</v>
      </c>
    </row>
    <row r="373" ht="15.75" customHeight="1">
      <c r="A373" s="2" t="s">
        <v>672</v>
      </c>
      <c r="B373" s="2" t="s">
        <v>45</v>
      </c>
      <c r="C373" s="2" t="s">
        <v>36</v>
      </c>
      <c r="D373" s="2" t="s">
        <v>37</v>
      </c>
      <c r="E373" s="2" t="s">
        <v>57</v>
      </c>
      <c r="F373" s="2" t="s">
        <v>21</v>
      </c>
      <c r="G373" s="3" t="str">
        <f t="shared" si="1"/>
        <v>P2 - This week</v>
      </c>
      <c r="H373" s="4" t="s">
        <v>673</v>
      </c>
    </row>
    <row r="374" ht="15.75" customHeight="1">
      <c r="A374" s="2" t="s">
        <v>674</v>
      </c>
      <c r="B374" s="2" t="s">
        <v>45</v>
      </c>
      <c r="C374" s="2" t="s">
        <v>36</v>
      </c>
      <c r="D374" s="2" t="s">
        <v>37</v>
      </c>
      <c r="E374" s="2" t="s">
        <v>57</v>
      </c>
      <c r="F374" s="2" t="s">
        <v>21</v>
      </c>
      <c r="G374" s="3" t="str">
        <f t="shared" si="1"/>
        <v>P2 - This week</v>
      </c>
      <c r="H374" s="4" t="s">
        <v>675</v>
      </c>
    </row>
    <row r="375" ht="15.75" customHeight="1">
      <c r="A375" s="2" t="s">
        <v>676</v>
      </c>
      <c r="B375" s="2" t="s">
        <v>45</v>
      </c>
      <c r="C375" s="2" t="s">
        <v>36</v>
      </c>
      <c r="D375" s="2" t="s">
        <v>37</v>
      </c>
      <c r="E375" s="2" t="s">
        <v>57</v>
      </c>
      <c r="F375" s="2" t="s">
        <v>21</v>
      </c>
      <c r="G375" s="3" t="str">
        <f t="shared" si="1"/>
        <v>P2 - This week</v>
      </c>
      <c r="H375" s="4" t="s">
        <v>677</v>
      </c>
    </row>
    <row r="376" ht="15.75" customHeight="1">
      <c r="A376" s="2" t="s">
        <v>678</v>
      </c>
      <c r="B376" s="2" t="s">
        <v>45</v>
      </c>
      <c r="C376" s="2" t="s">
        <v>36</v>
      </c>
      <c r="D376" s="2" t="s">
        <v>37</v>
      </c>
      <c r="E376" s="2" t="s">
        <v>57</v>
      </c>
      <c r="F376" s="2" t="s">
        <v>21</v>
      </c>
      <c r="G376" s="3" t="str">
        <f t="shared" si="1"/>
        <v>P2 - This week</v>
      </c>
      <c r="H376" s="4" t="s">
        <v>679</v>
      </c>
    </row>
    <row r="377" ht="15.75" customHeight="1">
      <c r="A377" s="2" t="s">
        <v>680</v>
      </c>
      <c r="B377" s="2" t="s">
        <v>45</v>
      </c>
      <c r="C377" s="2" t="s">
        <v>36</v>
      </c>
      <c r="D377" s="2" t="s">
        <v>37</v>
      </c>
      <c r="E377" s="2" t="s">
        <v>57</v>
      </c>
      <c r="F377" s="2" t="s">
        <v>21</v>
      </c>
      <c r="G377" s="3" t="str">
        <f t="shared" si="1"/>
        <v>P2 - This week</v>
      </c>
      <c r="H377" s="4" t="s">
        <v>681</v>
      </c>
    </row>
    <row r="378" ht="15.75" customHeight="1">
      <c r="A378" s="2" t="s">
        <v>682</v>
      </c>
      <c r="B378" s="2" t="s">
        <v>45</v>
      </c>
      <c r="C378" s="2" t="s">
        <v>36</v>
      </c>
      <c r="D378" s="2" t="s">
        <v>37</v>
      </c>
      <c r="E378" s="2" t="s">
        <v>57</v>
      </c>
      <c r="F378" s="2" t="s">
        <v>21</v>
      </c>
      <c r="G378" s="3" t="str">
        <f t="shared" si="1"/>
        <v>P2 - This week</v>
      </c>
      <c r="H378" s="4" t="s">
        <v>683</v>
      </c>
    </row>
    <row r="379" ht="15.75" customHeight="1">
      <c r="A379" s="2" t="s">
        <v>684</v>
      </c>
      <c r="B379" s="2" t="s">
        <v>45</v>
      </c>
      <c r="C379" s="2" t="s">
        <v>36</v>
      </c>
      <c r="D379" s="2" t="s">
        <v>37</v>
      </c>
      <c r="E379" s="2" t="s">
        <v>57</v>
      </c>
      <c r="F379" s="2" t="s">
        <v>21</v>
      </c>
      <c r="G379" s="3" t="str">
        <f t="shared" si="1"/>
        <v>P2 - This week</v>
      </c>
      <c r="H379" s="4" t="s">
        <v>685</v>
      </c>
    </row>
    <row r="380" ht="15.75" customHeight="1">
      <c r="A380" s="2" t="s">
        <v>686</v>
      </c>
      <c r="B380" s="2" t="s">
        <v>45</v>
      </c>
      <c r="C380" s="2" t="s">
        <v>36</v>
      </c>
      <c r="D380" s="2" t="s">
        <v>37</v>
      </c>
      <c r="E380" s="2" t="s">
        <v>57</v>
      </c>
      <c r="F380" s="2" t="s">
        <v>21</v>
      </c>
      <c r="G380" s="3" t="str">
        <f t="shared" si="1"/>
        <v>P2 - This week</v>
      </c>
      <c r="H380" s="4" t="s">
        <v>687</v>
      </c>
    </row>
    <row r="381" ht="15.75" customHeight="1">
      <c r="A381" s="2" t="s">
        <v>688</v>
      </c>
      <c r="B381" s="2" t="s">
        <v>45</v>
      </c>
      <c r="C381" s="2" t="s">
        <v>36</v>
      </c>
      <c r="D381" s="2" t="s">
        <v>37</v>
      </c>
      <c r="E381" s="2" t="s">
        <v>57</v>
      </c>
      <c r="F381" s="2" t="s">
        <v>21</v>
      </c>
      <c r="G381" s="3" t="str">
        <f t="shared" si="1"/>
        <v>P2 - This week</v>
      </c>
      <c r="H381" s="4" t="s">
        <v>689</v>
      </c>
    </row>
    <row r="382" ht="15.75" customHeight="1">
      <c r="A382" s="2" t="s">
        <v>690</v>
      </c>
      <c r="B382" s="2" t="s">
        <v>45</v>
      </c>
      <c r="C382" s="2" t="s">
        <v>36</v>
      </c>
      <c r="D382" s="2" t="s">
        <v>37</v>
      </c>
      <c r="E382" s="2" t="s">
        <v>57</v>
      </c>
      <c r="F382" s="2" t="s">
        <v>21</v>
      </c>
      <c r="G382" s="3" t="str">
        <f t="shared" si="1"/>
        <v>P2 - This week</v>
      </c>
      <c r="H382" s="4" t="s">
        <v>691</v>
      </c>
    </row>
    <row r="383" ht="15.75" customHeight="1">
      <c r="A383" s="2" t="s">
        <v>692</v>
      </c>
      <c r="B383" s="2" t="s">
        <v>45</v>
      </c>
      <c r="C383" s="2" t="s">
        <v>36</v>
      </c>
      <c r="D383" s="2" t="s">
        <v>37</v>
      </c>
      <c r="E383" s="2" t="s">
        <v>57</v>
      </c>
      <c r="F383" s="2" t="s">
        <v>21</v>
      </c>
      <c r="G383" s="3" t="str">
        <f t="shared" si="1"/>
        <v>P2 - This week</v>
      </c>
      <c r="H383" s="4" t="s">
        <v>693</v>
      </c>
    </row>
    <row r="384" ht="15.75" customHeight="1">
      <c r="A384" s="2" t="s">
        <v>694</v>
      </c>
      <c r="B384" s="2" t="s">
        <v>45</v>
      </c>
      <c r="C384" s="2" t="s">
        <v>36</v>
      </c>
      <c r="D384" s="2" t="s">
        <v>37</v>
      </c>
      <c r="E384" s="2" t="s">
        <v>57</v>
      </c>
      <c r="F384" s="2" t="s">
        <v>21</v>
      </c>
      <c r="G384" s="3" t="str">
        <f t="shared" si="1"/>
        <v>P2 - This week</v>
      </c>
      <c r="H384" s="4" t="s">
        <v>695</v>
      </c>
    </row>
    <row r="385" ht="15.75" customHeight="1">
      <c r="A385" s="2" t="s">
        <v>696</v>
      </c>
      <c r="B385" s="2" t="s">
        <v>45</v>
      </c>
      <c r="C385" s="2" t="s">
        <v>36</v>
      </c>
      <c r="D385" s="2" t="s">
        <v>37</v>
      </c>
      <c r="E385" s="2" t="s">
        <v>57</v>
      </c>
      <c r="F385" s="2" t="s">
        <v>21</v>
      </c>
      <c r="G385" s="3" t="str">
        <f t="shared" si="1"/>
        <v>P2 - This week</v>
      </c>
      <c r="H385" s="4" t="s">
        <v>697</v>
      </c>
    </row>
    <row r="386" ht="15.75" customHeight="1">
      <c r="A386" s="2" t="s">
        <v>698</v>
      </c>
      <c r="B386" s="2" t="s">
        <v>45</v>
      </c>
      <c r="C386" s="2" t="s">
        <v>36</v>
      </c>
      <c r="D386" s="2" t="s">
        <v>37</v>
      </c>
      <c r="E386" s="2" t="s">
        <v>57</v>
      </c>
      <c r="F386" s="2" t="s">
        <v>21</v>
      </c>
      <c r="G386" s="3" t="str">
        <f t="shared" si="1"/>
        <v>P2 - This week</v>
      </c>
      <c r="H386" s="4" t="s">
        <v>699</v>
      </c>
    </row>
    <row r="387" ht="15.75" customHeight="1">
      <c r="A387" s="2" t="s">
        <v>700</v>
      </c>
      <c r="B387" s="2" t="s">
        <v>45</v>
      </c>
      <c r="C387" s="2" t="s">
        <v>36</v>
      </c>
      <c r="D387" s="2" t="s">
        <v>37</v>
      </c>
      <c r="E387" s="2" t="s">
        <v>57</v>
      </c>
      <c r="F387" s="2" t="s">
        <v>21</v>
      </c>
      <c r="G387" s="3" t="str">
        <f t="shared" si="1"/>
        <v>P2 - This week</v>
      </c>
      <c r="H387" s="4" t="s">
        <v>701</v>
      </c>
    </row>
    <row r="388" ht="15.75" customHeight="1">
      <c r="A388" s="2" t="s">
        <v>702</v>
      </c>
      <c r="B388" s="2" t="s">
        <v>45</v>
      </c>
      <c r="C388" s="2" t="s">
        <v>36</v>
      </c>
      <c r="D388" s="2" t="s">
        <v>37</v>
      </c>
      <c r="E388" s="2" t="s">
        <v>57</v>
      </c>
      <c r="F388" s="2" t="s">
        <v>21</v>
      </c>
      <c r="G388" s="3" t="str">
        <f t="shared" si="1"/>
        <v>P2 - This week</v>
      </c>
      <c r="H388" s="4" t="s">
        <v>703</v>
      </c>
    </row>
    <row r="389" ht="15.75" customHeight="1">
      <c r="A389" s="2" t="s">
        <v>704</v>
      </c>
      <c r="B389" s="2" t="s">
        <v>45</v>
      </c>
      <c r="C389" s="2" t="s">
        <v>36</v>
      </c>
      <c r="D389" s="2" t="s">
        <v>37</v>
      </c>
      <c r="E389" s="2" t="s">
        <v>57</v>
      </c>
      <c r="F389" s="2" t="s">
        <v>21</v>
      </c>
      <c r="G389" s="3" t="str">
        <f t="shared" si="1"/>
        <v>P2 - This week</v>
      </c>
      <c r="H389" s="4" t="s">
        <v>705</v>
      </c>
    </row>
    <row r="390" ht="15.75" customHeight="1">
      <c r="A390" s="2" t="s">
        <v>706</v>
      </c>
      <c r="B390" s="2" t="s">
        <v>45</v>
      </c>
      <c r="C390" s="2" t="s">
        <v>36</v>
      </c>
      <c r="D390" s="2" t="s">
        <v>37</v>
      </c>
      <c r="E390" s="2" t="s">
        <v>57</v>
      </c>
      <c r="F390" s="2" t="s">
        <v>21</v>
      </c>
      <c r="G390" s="3" t="str">
        <f t="shared" si="1"/>
        <v>P2 - This week</v>
      </c>
      <c r="H390" s="4" t="s">
        <v>707</v>
      </c>
    </row>
    <row r="391" ht="15.75" customHeight="1">
      <c r="A391" s="2" t="s">
        <v>708</v>
      </c>
      <c r="B391" s="2" t="s">
        <v>45</v>
      </c>
      <c r="C391" s="2" t="s">
        <v>36</v>
      </c>
      <c r="D391" s="2" t="s">
        <v>37</v>
      </c>
      <c r="E391" s="2" t="s">
        <v>57</v>
      </c>
      <c r="F391" s="2" t="s">
        <v>21</v>
      </c>
      <c r="G391" s="3" t="str">
        <f t="shared" si="1"/>
        <v>P2 - This week</v>
      </c>
      <c r="H391" s="4" t="s">
        <v>709</v>
      </c>
    </row>
    <row r="392" ht="15.75" customHeight="1">
      <c r="A392" s="2" t="s">
        <v>710</v>
      </c>
      <c r="B392" s="2" t="s">
        <v>45</v>
      </c>
      <c r="C392" s="2" t="s">
        <v>36</v>
      </c>
      <c r="D392" s="2" t="s">
        <v>37</v>
      </c>
      <c r="E392" s="2" t="s">
        <v>57</v>
      </c>
      <c r="F392" s="2" t="s">
        <v>21</v>
      </c>
      <c r="G392" s="3" t="str">
        <f t="shared" si="1"/>
        <v>P2 - This week</v>
      </c>
      <c r="H392" s="4" t="s">
        <v>711</v>
      </c>
    </row>
    <row r="393" ht="15.75" customHeight="1">
      <c r="A393" s="2" t="s">
        <v>712</v>
      </c>
      <c r="B393" s="2" t="s">
        <v>45</v>
      </c>
      <c r="C393" s="2" t="s">
        <v>36</v>
      </c>
      <c r="D393" s="2" t="s">
        <v>37</v>
      </c>
      <c r="E393" s="2" t="s">
        <v>57</v>
      </c>
      <c r="F393" s="2" t="s">
        <v>21</v>
      </c>
      <c r="G393" s="3" t="str">
        <f t="shared" si="1"/>
        <v>P2 - This week</v>
      </c>
      <c r="H393" s="4" t="s">
        <v>713</v>
      </c>
    </row>
    <row r="394" ht="15.75" customHeight="1">
      <c r="A394" s="2" t="s">
        <v>714</v>
      </c>
      <c r="B394" s="2" t="s">
        <v>45</v>
      </c>
      <c r="C394" s="2" t="s">
        <v>36</v>
      </c>
      <c r="D394" s="2" t="s">
        <v>37</v>
      </c>
      <c r="E394" s="2" t="s">
        <v>57</v>
      </c>
      <c r="F394" s="2" t="s">
        <v>21</v>
      </c>
      <c r="G394" s="3" t="str">
        <f t="shared" si="1"/>
        <v>P2 - This week</v>
      </c>
      <c r="H394" s="4" t="s">
        <v>715</v>
      </c>
    </row>
    <row r="395" ht="15.75" customHeight="1">
      <c r="A395" s="2" t="s">
        <v>716</v>
      </c>
      <c r="B395" s="2" t="s">
        <v>45</v>
      </c>
      <c r="C395" s="2" t="s">
        <v>36</v>
      </c>
      <c r="D395" s="2" t="s">
        <v>37</v>
      </c>
      <c r="E395" s="2" t="s">
        <v>57</v>
      </c>
      <c r="F395" s="2" t="s">
        <v>21</v>
      </c>
      <c r="G395" s="3" t="str">
        <f t="shared" si="1"/>
        <v>P2 - This week</v>
      </c>
      <c r="H395" s="4" t="s">
        <v>717</v>
      </c>
    </row>
    <row r="396" ht="15.75" customHeight="1">
      <c r="A396" s="2" t="s">
        <v>718</v>
      </c>
      <c r="B396" s="2" t="s">
        <v>45</v>
      </c>
      <c r="C396" s="2" t="s">
        <v>36</v>
      </c>
      <c r="D396" s="2" t="s">
        <v>37</v>
      </c>
      <c r="E396" s="2" t="s">
        <v>57</v>
      </c>
      <c r="F396" s="2" t="s">
        <v>21</v>
      </c>
      <c r="G396" s="3" t="str">
        <f t="shared" si="1"/>
        <v>P2 - This week</v>
      </c>
      <c r="H396" s="4" t="s">
        <v>719</v>
      </c>
    </row>
    <row r="397" ht="15.75" customHeight="1">
      <c r="A397" s="2" t="s">
        <v>720</v>
      </c>
      <c r="B397" s="2" t="s">
        <v>45</v>
      </c>
      <c r="C397" s="2" t="s">
        <v>36</v>
      </c>
      <c r="D397" s="2" t="s">
        <v>37</v>
      </c>
      <c r="E397" s="2" t="s">
        <v>57</v>
      </c>
      <c r="F397" s="2" t="s">
        <v>21</v>
      </c>
      <c r="G397" s="3" t="str">
        <f t="shared" si="1"/>
        <v>P2 - This week</v>
      </c>
      <c r="H397" s="4" t="s">
        <v>721</v>
      </c>
    </row>
    <row r="398" ht="15.75" customHeight="1">
      <c r="A398" s="2" t="s">
        <v>722</v>
      </c>
      <c r="B398" s="2" t="s">
        <v>45</v>
      </c>
      <c r="C398" s="2" t="s">
        <v>36</v>
      </c>
      <c r="D398" s="2" t="s">
        <v>37</v>
      </c>
      <c r="E398" s="2" t="s">
        <v>57</v>
      </c>
      <c r="F398" s="2" t="s">
        <v>21</v>
      </c>
      <c r="G398" s="3" t="str">
        <f t="shared" si="1"/>
        <v>P2 - This week</v>
      </c>
      <c r="H398" s="4" t="s">
        <v>723</v>
      </c>
    </row>
    <row r="399" ht="15.75" customHeight="1">
      <c r="A399" s="2" t="s">
        <v>724</v>
      </c>
      <c r="B399" s="2" t="s">
        <v>45</v>
      </c>
      <c r="C399" s="2" t="s">
        <v>36</v>
      </c>
      <c r="D399" s="2" t="s">
        <v>37</v>
      </c>
      <c r="E399" s="2" t="s">
        <v>57</v>
      </c>
      <c r="F399" s="2" t="s">
        <v>21</v>
      </c>
      <c r="G399" s="3" t="str">
        <f t="shared" si="1"/>
        <v>P2 - This week</v>
      </c>
      <c r="H399" s="4" t="s">
        <v>725</v>
      </c>
    </row>
    <row r="400" ht="15.75" customHeight="1">
      <c r="A400" s="2" t="s">
        <v>726</v>
      </c>
      <c r="B400" s="2" t="s">
        <v>45</v>
      </c>
      <c r="C400" s="2" t="s">
        <v>36</v>
      </c>
      <c r="D400" s="2" t="s">
        <v>37</v>
      </c>
      <c r="E400" s="2" t="s">
        <v>57</v>
      </c>
      <c r="F400" s="2" t="s">
        <v>21</v>
      </c>
      <c r="G400" s="3" t="str">
        <f t="shared" si="1"/>
        <v>P2 - This week</v>
      </c>
      <c r="H400" s="4" t="s">
        <v>727</v>
      </c>
    </row>
    <row r="401" ht="15.75" customHeight="1">
      <c r="A401" s="2" t="s">
        <v>728</v>
      </c>
      <c r="B401" s="2" t="s">
        <v>45</v>
      </c>
      <c r="C401" s="2" t="s">
        <v>36</v>
      </c>
      <c r="D401" s="2" t="s">
        <v>37</v>
      </c>
      <c r="E401" s="2" t="s">
        <v>57</v>
      </c>
      <c r="F401" s="2" t="s">
        <v>21</v>
      </c>
      <c r="G401" s="3" t="str">
        <f t="shared" si="1"/>
        <v>P2 - This week</v>
      </c>
      <c r="H401" s="4" t="s">
        <v>729</v>
      </c>
    </row>
    <row r="402" ht="15.75" customHeight="1">
      <c r="A402" s="2" t="s">
        <v>730</v>
      </c>
      <c r="B402" s="2" t="s">
        <v>45</v>
      </c>
      <c r="C402" s="2" t="s">
        <v>36</v>
      </c>
      <c r="D402" s="2" t="s">
        <v>37</v>
      </c>
      <c r="E402" s="2" t="s">
        <v>57</v>
      </c>
      <c r="F402" s="2" t="s">
        <v>21</v>
      </c>
      <c r="G402" s="3" t="str">
        <f t="shared" si="1"/>
        <v>P2 - This week</v>
      </c>
      <c r="H402" s="4" t="s">
        <v>731</v>
      </c>
    </row>
    <row r="403" ht="15.75" customHeight="1">
      <c r="A403" s="2" t="s">
        <v>732</v>
      </c>
      <c r="B403" s="2" t="s">
        <v>45</v>
      </c>
      <c r="C403" s="2" t="s">
        <v>36</v>
      </c>
      <c r="D403" s="2" t="s">
        <v>37</v>
      </c>
      <c r="E403" s="2" t="s">
        <v>57</v>
      </c>
      <c r="F403" s="2" t="s">
        <v>21</v>
      </c>
      <c r="G403" s="3" t="str">
        <f t="shared" si="1"/>
        <v>P2 - This week</v>
      </c>
      <c r="H403" s="4" t="s">
        <v>733</v>
      </c>
    </row>
    <row r="404" ht="15.75" customHeight="1">
      <c r="A404" s="2" t="s">
        <v>734</v>
      </c>
      <c r="B404" s="2" t="s">
        <v>45</v>
      </c>
      <c r="C404" s="2" t="s">
        <v>36</v>
      </c>
      <c r="D404" s="2" t="s">
        <v>37</v>
      </c>
      <c r="E404" s="2" t="s">
        <v>57</v>
      </c>
      <c r="F404" s="2" t="s">
        <v>21</v>
      </c>
      <c r="G404" s="3" t="str">
        <f t="shared" si="1"/>
        <v>P2 - This week</v>
      </c>
      <c r="H404" s="4" t="s">
        <v>735</v>
      </c>
    </row>
    <row r="405" ht="15.75" customHeight="1">
      <c r="A405" s="2" t="s">
        <v>736</v>
      </c>
      <c r="B405" s="2" t="s">
        <v>45</v>
      </c>
      <c r="C405" s="2" t="s">
        <v>36</v>
      </c>
      <c r="D405" s="2" t="s">
        <v>37</v>
      </c>
      <c r="E405" s="2" t="s">
        <v>57</v>
      </c>
      <c r="F405" s="2" t="s">
        <v>21</v>
      </c>
      <c r="G405" s="3" t="str">
        <f t="shared" si="1"/>
        <v>P2 - This week</v>
      </c>
      <c r="H405" s="4" t="s">
        <v>737</v>
      </c>
    </row>
    <row r="406" ht="15.75" customHeight="1">
      <c r="A406" s="2" t="s">
        <v>738</v>
      </c>
      <c r="B406" s="2" t="s">
        <v>45</v>
      </c>
      <c r="C406" s="2" t="s">
        <v>36</v>
      </c>
      <c r="D406" s="2" t="s">
        <v>37</v>
      </c>
      <c r="E406" s="2" t="s">
        <v>57</v>
      </c>
      <c r="F406" s="2" t="s">
        <v>21</v>
      </c>
      <c r="G406" s="3" t="str">
        <f t="shared" si="1"/>
        <v>P2 - This week</v>
      </c>
      <c r="H406" s="4" t="s">
        <v>739</v>
      </c>
    </row>
    <row r="407" ht="15.75" customHeight="1">
      <c r="A407" s="2" t="s">
        <v>740</v>
      </c>
      <c r="B407" s="2" t="s">
        <v>45</v>
      </c>
      <c r="C407" s="2" t="s">
        <v>36</v>
      </c>
      <c r="D407" s="2" t="s">
        <v>37</v>
      </c>
      <c r="E407" s="2" t="s">
        <v>57</v>
      </c>
      <c r="F407" s="2" t="s">
        <v>21</v>
      </c>
      <c r="G407" s="3" t="str">
        <f t="shared" si="1"/>
        <v>P2 - This week</v>
      </c>
      <c r="H407" s="4" t="s">
        <v>741</v>
      </c>
    </row>
    <row r="408" ht="15.75" customHeight="1">
      <c r="A408" s="2" t="s">
        <v>742</v>
      </c>
      <c r="B408" s="2" t="s">
        <v>45</v>
      </c>
      <c r="C408" s="2" t="s">
        <v>36</v>
      </c>
      <c r="D408" s="2" t="s">
        <v>37</v>
      </c>
      <c r="E408" s="2" t="s">
        <v>57</v>
      </c>
      <c r="F408" s="2" t="s">
        <v>21</v>
      </c>
      <c r="G408" s="3" t="str">
        <f t="shared" si="1"/>
        <v>P2 - This week</v>
      </c>
      <c r="H408" s="4" t="s">
        <v>743</v>
      </c>
    </row>
    <row r="409" ht="15.75" customHeight="1">
      <c r="A409" s="2" t="s">
        <v>744</v>
      </c>
      <c r="B409" s="2" t="s">
        <v>45</v>
      </c>
      <c r="C409" s="2" t="s">
        <v>36</v>
      </c>
      <c r="D409" s="2" t="s">
        <v>37</v>
      </c>
      <c r="E409" s="2" t="s">
        <v>57</v>
      </c>
      <c r="F409" s="2" t="s">
        <v>21</v>
      </c>
      <c r="G409" s="3" t="str">
        <f t="shared" si="1"/>
        <v>P2 - This week</v>
      </c>
      <c r="H409" s="4" t="s">
        <v>745</v>
      </c>
    </row>
    <row r="410" ht="15.75" customHeight="1">
      <c r="A410" s="2" t="s">
        <v>746</v>
      </c>
      <c r="B410" s="2" t="s">
        <v>45</v>
      </c>
      <c r="C410" s="2" t="s">
        <v>36</v>
      </c>
      <c r="D410" s="2" t="s">
        <v>37</v>
      </c>
      <c r="E410" s="2" t="s">
        <v>57</v>
      </c>
      <c r="F410" s="2" t="s">
        <v>21</v>
      </c>
      <c r="G410" s="3" t="str">
        <f t="shared" si="1"/>
        <v>P2 - This week</v>
      </c>
      <c r="H410" s="4" t="s">
        <v>747</v>
      </c>
    </row>
    <row r="411" ht="15.75" customHeight="1">
      <c r="A411" s="2" t="s">
        <v>748</v>
      </c>
      <c r="B411" s="2" t="s">
        <v>45</v>
      </c>
      <c r="C411" s="2" t="s">
        <v>36</v>
      </c>
      <c r="D411" s="2" t="s">
        <v>37</v>
      </c>
      <c r="E411" s="2" t="s">
        <v>57</v>
      </c>
      <c r="F411" s="2" t="s">
        <v>21</v>
      </c>
      <c r="G411" s="3" t="str">
        <f t="shared" si="1"/>
        <v>P2 - This week</v>
      </c>
      <c r="H411" s="4" t="s">
        <v>749</v>
      </c>
    </row>
    <row r="412" ht="15.75" customHeight="1">
      <c r="A412" s="2" t="s">
        <v>750</v>
      </c>
      <c r="B412" s="2" t="s">
        <v>45</v>
      </c>
      <c r="C412" s="2" t="s">
        <v>36</v>
      </c>
      <c r="D412" s="2" t="s">
        <v>37</v>
      </c>
      <c r="E412" s="2" t="s">
        <v>57</v>
      </c>
      <c r="F412" s="2" t="s">
        <v>21</v>
      </c>
      <c r="G412" s="3" t="str">
        <f t="shared" si="1"/>
        <v>P2 - This week</v>
      </c>
      <c r="H412" s="4" t="s">
        <v>751</v>
      </c>
    </row>
    <row r="413" ht="15.75" customHeight="1">
      <c r="A413" s="2" t="s">
        <v>752</v>
      </c>
      <c r="B413" s="2" t="s">
        <v>45</v>
      </c>
      <c r="C413" s="2" t="s">
        <v>36</v>
      </c>
      <c r="D413" s="2" t="s">
        <v>37</v>
      </c>
      <c r="E413" s="2" t="s">
        <v>57</v>
      </c>
      <c r="F413" s="2" t="s">
        <v>21</v>
      </c>
      <c r="G413" s="3" t="str">
        <f t="shared" si="1"/>
        <v>P2 - This week</v>
      </c>
      <c r="H413" s="4" t="s">
        <v>753</v>
      </c>
    </row>
    <row r="414" ht="15.75" customHeight="1">
      <c r="A414" s="2" t="s">
        <v>754</v>
      </c>
      <c r="B414" s="2" t="s">
        <v>45</v>
      </c>
      <c r="C414" s="2" t="s">
        <v>36</v>
      </c>
      <c r="D414" s="2" t="s">
        <v>37</v>
      </c>
      <c r="E414" s="2" t="s">
        <v>57</v>
      </c>
      <c r="F414" s="2" t="s">
        <v>21</v>
      </c>
      <c r="G414" s="3" t="str">
        <f t="shared" si="1"/>
        <v>P2 - This week</v>
      </c>
      <c r="H414" s="4" t="s">
        <v>755</v>
      </c>
    </row>
    <row r="415" ht="15.75" customHeight="1">
      <c r="A415" s="2" t="s">
        <v>756</v>
      </c>
      <c r="B415" s="2" t="s">
        <v>45</v>
      </c>
      <c r="C415" s="2" t="s">
        <v>36</v>
      </c>
      <c r="D415" s="2" t="s">
        <v>37</v>
      </c>
      <c r="E415" s="2" t="s">
        <v>57</v>
      </c>
      <c r="F415" s="2" t="s">
        <v>21</v>
      </c>
      <c r="G415" s="3" t="str">
        <f t="shared" si="1"/>
        <v>P2 - This week</v>
      </c>
      <c r="H415" s="4" t="s">
        <v>757</v>
      </c>
    </row>
    <row r="416" ht="15.75" customHeight="1">
      <c r="A416" s="2" t="s">
        <v>758</v>
      </c>
      <c r="B416" s="2" t="s">
        <v>45</v>
      </c>
      <c r="C416" s="2" t="s">
        <v>36</v>
      </c>
      <c r="D416" s="2" t="s">
        <v>37</v>
      </c>
      <c r="E416" s="2" t="s">
        <v>57</v>
      </c>
      <c r="F416" s="2" t="s">
        <v>21</v>
      </c>
      <c r="G416" s="3" t="str">
        <f t="shared" si="1"/>
        <v>P2 - This week</v>
      </c>
      <c r="H416" s="4" t="s">
        <v>759</v>
      </c>
    </row>
    <row r="417" ht="15.75" customHeight="1">
      <c r="A417" s="2" t="s">
        <v>760</v>
      </c>
      <c r="B417" s="2" t="s">
        <v>45</v>
      </c>
      <c r="C417" s="2" t="s">
        <v>36</v>
      </c>
      <c r="D417" s="2" t="s">
        <v>37</v>
      </c>
      <c r="E417" s="2" t="s">
        <v>57</v>
      </c>
      <c r="F417" s="2" t="s">
        <v>21</v>
      </c>
      <c r="G417" s="3" t="str">
        <f t="shared" si="1"/>
        <v>P2 - This week</v>
      </c>
      <c r="H417" s="4" t="s">
        <v>761</v>
      </c>
    </row>
    <row r="418" ht="15.75" customHeight="1">
      <c r="A418" s="2" t="s">
        <v>762</v>
      </c>
      <c r="B418" s="2" t="s">
        <v>45</v>
      </c>
      <c r="C418" s="2" t="s">
        <v>36</v>
      </c>
      <c r="D418" s="2" t="s">
        <v>37</v>
      </c>
      <c r="E418" s="2" t="s">
        <v>57</v>
      </c>
      <c r="F418" s="2" t="s">
        <v>21</v>
      </c>
      <c r="G418" s="3" t="str">
        <f t="shared" si="1"/>
        <v>P2 - This week</v>
      </c>
      <c r="H418" s="4" t="s">
        <v>763</v>
      </c>
    </row>
    <row r="419" ht="15.75" customHeight="1">
      <c r="A419" s="2" t="s">
        <v>764</v>
      </c>
      <c r="B419" s="2" t="s">
        <v>45</v>
      </c>
      <c r="C419" s="2" t="s">
        <v>36</v>
      </c>
      <c r="D419" s="2" t="s">
        <v>37</v>
      </c>
      <c r="E419" s="2" t="s">
        <v>57</v>
      </c>
      <c r="F419" s="2" t="s">
        <v>21</v>
      </c>
      <c r="G419" s="3" t="str">
        <f t="shared" si="1"/>
        <v>P2 - This week</v>
      </c>
      <c r="H419" s="4" t="s">
        <v>765</v>
      </c>
    </row>
    <row r="420" ht="15.75" customHeight="1">
      <c r="A420" s="2" t="s">
        <v>766</v>
      </c>
      <c r="B420" s="2" t="s">
        <v>45</v>
      </c>
      <c r="C420" s="2" t="s">
        <v>36</v>
      </c>
      <c r="D420" s="2" t="s">
        <v>37</v>
      </c>
      <c r="E420" s="2" t="s">
        <v>57</v>
      </c>
      <c r="F420" s="2" t="s">
        <v>21</v>
      </c>
      <c r="G420" s="3" t="str">
        <f t="shared" si="1"/>
        <v>P2 - This week</v>
      </c>
      <c r="H420" s="4" t="s">
        <v>767</v>
      </c>
    </row>
    <row r="421" ht="15.75" customHeight="1">
      <c r="A421" s="2" t="s">
        <v>768</v>
      </c>
      <c r="B421" s="2" t="s">
        <v>45</v>
      </c>
      <c r="C421" s="2" t="s">
        <v>36</v>
      </c>
      <c r="D421" s="2" t="s">
        <v>37</v>
      </c>
      <c r="E421" s="2" t="s">
        <v>57</v>
      </c>
      <c r="F421" s="2" t="s">
        <v>21</v>
      </c>
      <c r="G421" s="3" t="str">
        <f t="shared" si="1"/>
        <v>P2 - This week</v>
      </c>
      <c r="H421" s="4" t="s">
        <v>769</v>
      </c>
    </row>
    <row r="422" ht="15.75" customHeight="1">
      <c r="A422" s="2" t="s">
        <v>770</v>
      </c>
      <c r="B422" s="2" t="s">
        <v>45</v>
      </c>
      <c r="C422" s="2" t="s">
        <v>36</v>
      </c>
      <c r="D422" s="2" t="s">
        <v>37</v>
      </c>
      <c r="E422" s="2" t="s">
        <v>57</v>
      </c>
      <c r="F422" s="2" t="s">
        <v>21</v>
      </c>
      <c r="G422" s="3" t="str">
        <f t="shared" si="1"/>
        <v>P2 - This week</v>
      </c>
      <c r="H422" s="4" t="s">
        <v>771</v>
      </c>
    </row>
    <row r="423" ht="15.75" customHeight="1">
      <c r="A423" s="2" t="s">
        <v>772</v>
      </c>
      <c r="B423" s="2" t="s">
        <v>45</v>
      </c>
      <c r="C423" s="2" t="s">
        <v>36</v>
      </c>
      <c r="D423" s="2" t="s">
        <v>37</v>
      </c>
      <c r="E423" s="2" t="s">
        <v>57</v>
      </c>
      <c r="F423" s="2" t="s">
        <v>21</v>
      </c>
      <c r="G423" s="3" t="str">
        <f t="shared" si="1"/>
        <v>P2 - This week</v>
      </c>
      <c r="H423" s="4" t="s">
        <v>773</v>
      </c>
    </row>
    <row r="424" ht="15.75" customHeight="1">
      <c r="A424" s="2" t="s">
        <v>774</v>
      </c>
      <c r="B424" s="2" t="s">
        <v>45</v>
      </c>
      <c r="C424" s="2" t="s">
        <v>36</v>
      </c>
      <c r="D424" s="2" t="s">
        <v>37</v>
      </c>
      <c r="E424" s="2" t="s">
        <v>57</v>
      </c>
      <c r="F424" s="2" t="s">
        <v>21</v>
      </c>
      <c r="G424" s="3" t="str">
        <f t="shared" si="1"/>
        <v>P2 - This week</v>
      </c>
      <c r="H424" s="4" t="s">
        <v>775</v>
      </c>
    </row>
    <row r="425" ht="15.75" customHeight="1">
      <c r="A425" s="2" t="s">
        <v>776</v>
      </c>
      <c r="B425" s="2" t="s">
        <v>45</v>
      </c>
      <c r="C425" s="2" t="s">
        <v>36</v>
      </c>
      <c r="D425" s="2" t="s">
        <v>37</v>
      </c>
      <c r="E425" s="2" t="s">
        <v>57</v>
      </c>
      <c r="F425" s="2" t="s">
        <v>21</v>
      </c>
      <c r="G425" s="3" t="str">
        <f t="shared" si="1"/>
        <v>P2 - This week</v>
      </c>
      <c r="H425" s="4" t="s">
        <v>777</v>
      </c>
    </row>
    <row r="426" ht="15.75" customHeight="1">
      <c r="A426" s="2" t="s">
        <v>778</v>
      </c>
      <c r="B426" s="2" t="s">
        <v>45</v>
      </c>
      <c r="C426" s="2" t="s">
        <v>36</v>
      </c>
      <c r="D426" s="2" t="s">
        <v>37</v>
      </c>
      <c r="E426" s="2" t="s">
        <v>57</v>
      </c>
      <c r="F426" s="2" t="s">
        <v>21</v>
      </c>
      <c r="G426" s="3" t="str">
        <f t="shared" si="1"/>
        <v>P2 - This week</v>
      </c>
      <c r="H426" s="4" t="s">
        <v>779</v>
      </c>
    </row>
    <row r="427" ht="15.75" customHeight="1">
      <c r="A427" s="2" t="s">
        <v>780</v>
      </c>
      <c r="B427" s="2" t="s">
        <v>45</v>
      </c>
      <c r="C427" s="2" t="s">
        <v>36</v>
      </c>
      <c r="D427" s="2" t="s">
        <v>37</v>
      </c>
      <c r="E427" s="2" t="s">
        <v>57</v>
      </c>
      <c r="F427" s="2" t="s">
        <v>21</v>
      </c>
      <c r="G427" s="3" t="str">
        <f t="shared" si="1"/>
        <v>P2 - This week</v>
      </c>
      <c r="H427" s="4" t="s">
        <v>781</v>
      </c>
    </row>
    <row r="428" ht="15.75" customHeight="1">
      <c r="A428" s="2" t="s">
        <v>782</v>
      </c>
      <c r="B428" s="2" t="s">
        <v>45</v>
      </c>
      <c r="C428" s="2" t="s">
        <v>36</v>
      </c>
      <c r="D428" s="2" t="s">
        <v>37</v>
      </c>
      <c r="E428" s="2" t="s">
        <v>57</v>
      </c>
      <c r="F428" s="2" t="s">
        <v>21</v>
      </c>
      <c r="G428" s="3" t="str">
        <f t="shared" si="1"/>
        <v>P2 - This week</v>
      </c>
      <c r="H428" s="4" t="s">
        <v>783</v>
      </c>
    </row>
    <row r="429" ht="15.75" customHeight="1">
      <c r="A429" s="2" t="s">
        <v>784</v>
      </c>
      <c r="B429" s="2" t="s">
        <v>45</v>
      </c>
      <c r="C429" s="2" t="s">
        <v>36</v>
      </c>
      <c r="D429" s="2" t="s">
        <v>37</v>
      </c>
      <c r="E429" s="2" t="s">
        <v>57</v>
      </c>
      <c r="F429" s="2" t="s">
        <v>21</v>
      </c>
      <c r="G429" s="3" t="str">
        <f t="shared" si="1"/>
        <v>P2 - This week</v>
      </c>
      <c r="H429" s="4" t="s">
        <v>785</v>
      </c>
    </row>
    <row r="430" ht="15.75" customHeight="1">
      <c r="A430" s="2" t="s">
        <v>786</v>
      </c>
      <c r="B430" s="2" t="s">
        <v>45</v>
      </c>
      <c r="C430" s="2" t="s">
        <v>36</v>
      </c>
      <c r="D430" s="2" t="s">
        <v>37</v>
      </c>
      <c r="E430" s="2" t="s">
        <v>57</v>
      </c>
      <c r="F430" s="2" t="s">
        <v>21</v>
      </c>
      <c r="G430" s="3" t="str">
        <f t="shared" si="1"/>
        <v>P2 - This week</v>
      </c>
      <c r="H430" s="4" t="s">
        <v>787</v>
      </c>
    </row>
    <row r="431" ht="15.75" customHeight="1">
      <c r="A431" s="2" t="s">
        <v>788</v>
      </c>
      <c r="B431" s="2" t="s">
        <v>45</v>
      </c>
      <c r="C431" s="2" t="s">
        <v>36</v>
      </c>
      <c r="D431" s="2" t="s">
        <v>37</v>
      </c>
      <c r="E431" s="2" t="s">
        <v>57</v>
      </c>
      <c r="F431" s="2" t="s">
        <v>21</v>
      </c>
      <c r="G431" s="3" t="str">
        <f t="shared" si="1"/>
        <v>P2 - This week</v>
      </c>
      <c r="H431" s="4" t="s">
        <v>789</v>
      </c>
    </row>
    <row r="432" ht="15.75" customHeight="1">
      <c r="A432" s="2" t="s">
        <v>790</v>
      </c>
      <c r="B432" s="2" t="s">
        <v>45</v>
      </c>
      <c r="C432" s="2" t="s">
        <v>36</v>
      </c>
      <c r="D432" s="2" t="s">
        <v>37</v>
      </c>
      <c r="E432" s="2" t="s">
        <v>57</v>
      </c>
      <c r="F432" s="2" t="s">
        <v>21</v>
      </c>
      <c r="G432" s="3" t="str">
        <f t="shared" si="1"/>
        <v>P2 - This week</v>
      </c>
      <c r="H432" s="4" t="s">
        <v>791</v>
      </c>
    </row>
    <row r="433" ht="15.75" customHeight="1">
      <c r="A433" s="2" t="s">
        <v>792</v>
      </c>
      <c r="B433" s="2" t="s">
        <v>45</v>
      </c>
      <c r="C433" s="2" t="s">
        <v>36</v>
      </c>
      <c r="D433" s="2" t="s">
        <v>37</v>
      </c>
      <c r="E433" s="2" t="s">
        <v>57</v>
      </c>
      <c r="F433" s="2" t="s">
        <v>21</v>
      </c>
      <c r="G433" s="3" t="str">
        <f t="shared" si="1"/>
        <v>P2 - This week</v>
      </c>
      <c r="H433" s="4" t="s">
        <v>793</v>
      </c>
    </row>
    <row r="434" ht="15.75" customHeight="1">
      <c r="A434" s="2" t="s">
        <v>794</v>
      </c>
      <c r="B434" s="2" t="s">
        <v>45</v>
      </c>
      <c r="C434" s="2" t="s">
        <v>36</v>
      </c>
      <c r="D434" s="2" t="s">
        <v>37</v>
      </c>
      <c r="E434" s="2" t="s">
        <v>57</v>
      </c>
      <c r="F434" s="2" t="s">
        <v>21</v>
      </c>
      <c r="G434" s="3" t="str">
        <f t="shared" si="1"/>
        <v>P2 - This week</v>
      </c>
      <c r="H434" s="4" t="s">
        <v>795</v>
      </c>
    </row>
    <row r="435" ht="15.75" customHeight="1">
      <c r="A435" s="2" t="s">
        <v>796</v>
      </c>
      <c r="B435" s="2" t="s">
        <v>45</v>
      </c>
      <c r="C435" s="2" t="s">
        <v>36</v>
      </c>
      <c r="D435" s="2" t="s">
        <v>37</v>
      </c>
      <c r="E435" s="2" t="s">
        <v>57</v>
      </c>
      <c r="F435" s="2" t="s">
        <v>21</v>
      </c>
      <c r="G435" s="3" t="str">
        <f t="shared" si="1"/>
        <v>P2 - This week</v>
      </c>
      <c r="H435" s="4" t="s">
        <v>797</v>
      </c>
    </row>
    <row r="436" ht="15.75" customHeight="1">
      <c r="A436" s="2" t="s">
        <v>798</v>
      </c>
      <c r="B436" s="2" t="s">
        <v>45</v>
      </c>
      <c r="C436" s="2" t="s">
        <v>36</v>
      </c>
      <c r="D436" s="2" t="s">
        <v>37</v>
      </c>
      <c r="E436" s="2" t="s">
        <v>57</v>
      </c>
      <c r="F436" s="2" t="s">
        <v>21</v>
      </c>
      <c r="G436" s="3" t="str">
        <f t="shared" si="1"/>
        <v>P2 - This week</v>
      </c>
      <c r="H436" s="4" t="s">
        <v>799</v>
      </c>
    </row>
    <row r="437" ht="15.75" customHeight="1">
      <c r="A437" s="2" t="s">
        <v>800</v>
      </c>
      <c r="B437" s="2" t="s">
        <v>45</v>
      </c>
      <c r="C437" s="2" t="s">
        <v>36</v>
      </c>
      <c r="D437" s="2" t="s">
        <v>37</v>
      </c>
      <c r="E437" s="2" t="s">
        <v>57</v>
      </c>
      <c r="F437" s="2" t="s">
        <v>21</v>
      </c>
      <c r="G437" s="3" t="str">
        <f t="shared" si="1"/>
        <v>P2 - This week</v>
      </c>
      <c r="H437" s="4" t="s">
        <v>801</v>
      </c>
    </row>
    <row r="438" ht="15.75" customHeight="1">
      <c r="A438" s="2" t="s">
        <v>802</v>
      </c>
      <c r="B438" s="2" t="s">
        <v>45</v>
      </c>
      <c r="C438" s="2" t="s">
        <v>36</v>
      </c>
      <c r="D438" s="2" t="s">
        <v>37</v>
      </c>
      <c r="E438" s="2" t="s">
        <v>57</v>
      </c>
      <c r="F438" s="2" t="s">
        <v>21</v>
      </c>
      <c r="G438" s="3" t="str">
        <f t="shared" si="1"/>
        <v>P2 - This week</v>
      </c>
      <c r="H438" s="4" t="s">
        <v>803</v>
      </c>
    </row>
    <row r="439" ht="15.75" customHeight="1">
      <c r="A439" s="2" t="s">
        <v>804</v>
      </c>
      <c r="B439" s="2" t="s">
        <v>45</v>
      </c>
      <c r="C439" s="2" t="s">
        <v>36</v>
      </c>
      <c r="D439" s="2" t="s">
        <v>37</v>
      </c>
      <c r="E439" s="2" t="s">
        <v>57</v>
      </c>
      <c r="F439" s="2" t="s">
        <v>21</v>
      </c>
      <c r="G439" s="3" t="str">
        <f t="shared" si="1"/>
        <v>P2 - This week</v>
      </c>
      <c r="H439" s="4" t="s">
        <v>805</v>
      </c>
    </row>
    <row r="440" ht="15.75" customHeight="1">
      <c r="A440" s="2" t="s">
        <v>806</v>
      </c>
      <c r="B440" s="2" t="s">
        <v>45</v>
      </c>
      <c r="C440" s="2" t="s">
        <v>36</v>
      </c>
      <c r="D440" s="2" t="s">
        <v>37</v>
      </c>
      <c r="E440" s="2" t="s">
        <v>57</v>
      </c>
      <c r="F440" s="2" t="s">
        <v>21</v>
      </c>
      <c r="G440" s="3" t="str">
        <f t="shared" si="1"/>
        <v>P2 - This week</v>
      </c>
      <c r="H440" s="4" t="s">
        <v>807</v>
      </c>
    </row>
    <row r="441" ht="15.75" customHeight="1">
      <c r="A441" s="2" t="s">
        <v>808</v>
      </c>
      <c r="B441" s="2" t="s">
        <v>45</v>
      </c>
      <c r="C441" s="2" t="s">
        <v>36</v>
      </c>
      <c r="D441" s="2" t="s">
        <v>37</v>
      </c>
      <c r="E441" s="2" t="s">
        <v>57</v>
      </c>
      <c r="F441" s="2" t="s">
        <v>21</v>
      </c>
      <c r="G441" s="3" t="str">
        <f t="shared" si="1"/>
        <v>P2 - This week</v>
      </c>
      <c r="H441" s="4" t="s">
        <v>809</v>
      </c>
    </row>
    <row r="442" ht="15.75" customHeight="1">
      <c r="A442" s="2" t="s">
        <v>810</v>
      </c>
      <c r="B442" s="2" t="s">
        <v>45</v>
      </c>
      <c r="C442" s="2" t="s">
        <v>36</v>
      </c>
      <c r="D442" s="2" t="s">
        <v>37</v>
      </c>
      <c r="E442" s="2" t="s">
        <v>57</v>
      </c>
      <c r="F442" s="2" t="s">
        <v>21</v>
      </c>
      <c r="G442" s="3" t="str">
        <f t="shared" si="1"/>
        <v>P2 - This week</v>
      </c>
      <c r="H442" s="4" t="s">
        <v>811</v>
      </c>
    </row>
    <row r="443" ht="15.75" customHeight="1">
      <c r="A443" s="2" t="s">
        <v>812</v>
      </c>
      <c r="B443" s="2" t="s">
        <v>45</v>
      </c>
      <c r="C443" s="2" t="s">
        <v>36</v>
      </c>
      <c r="D443" s="2" t="s">
        <v>37</v>
      </c>
      <c r="E443" s="2" t="s">
        <v>57</v>
      </c>
      <c r="F443" s="2" t="s">
        <v>21</v>
      </c>
      <c r="G443" s="3" t="str">
        <f t="shared" si="1"/>
        <v>P2 - This week</v>
      </c>
      <c r="H443" s="4" t="s">
        <v>813</v>
      </c>
    </row>
    <row r="444" ht="15.75" customHeight="1">
      <c r="A444" s="2" t="s">
        <v>814</v>
      </c>
      <c r="B444" s="2" t="s">
        <v>45</v>
      </c>
      <c r="C444" s="2" t="s">
        <v>36</v>
      </c>
      <c r="D444" s="2" t="s">
        <v>37</v>
      </c>
      <c r="E444" s="2" t="s">
        <v>57</v>
      </c>
      <c r="F444" s="2" t="s">
        <v>21</v>
      </c>
      <c r="G444" s="3" t="str">
        <f t="shared" si="1"/>
        <v>P2 - This week</v>
      </c>
      <c r="H444" s="4" t="s">
        <v>815</v>
      </c>
    </row>
    <row r="445" ht="15.75" customHeight="1">
      <c r="A445" s="2" t="s">
        <v>816</v>
      </c>
      <c r="B445" s="2" t="s">
        <v>45</v>
      </c>
      <c r="C445" s="2" t="s">
        <v>36</v>
      </c>
      <c r="D445" s="2" t="s">
        <v>37</v>
      </c>
      <c r="E445" s="2" t="s">
        <v>57</v>
      </c>
      <c r="F445" s="2" t="s">
        <v>21</v>
      </c>
      <c r="G445" s="3" t="str">
        <f t="shared" si="1"/>
        <v>P2 - This week</v>
      </c>
      <c r="H445" s="4" t="s">
        <v>817</v>
      </c>
    </row>
    <row r="446" ht="15.75" customHeight="1">
      <c r="A446" s="2" t="s">
        <v>818</v>
      </c>
      <c r="B446" s="2" t="s">
        <v>45</v>
      </c>
      <c r="C446" s="2" t="s">
        <v>36</v>
      </c>
      <c r="D446" s="2" t="s">
        <v>37</v>
      </c>
      <c r="E446" s="2" t="s">
        <v>57</v>
      </c>
      <c r="F446" s="2" t="s">
        <v>21</v>
      </c>
      <c r="G446" s="3" t="str">
        <f t="shared" si="1"/>
        <v>P2 - This week</v>
      </c>
      <c r="H446" s="4" t="s">
        <v>819</v>
      </c>
    </row>
    <row r="447" ht="15.75" customHeight="1">
      <c r="A447" s="2" t="s">
        <v>820</v>
      </c>
      <c r="B447" s="2" t="s">
        <v>45</v>
      </c>
      <c r="C447" s="2" t="s">
        <v>36</v>
      </c>
      <c r="D447" s="2" t="s">
        <v>37</v>
      </c>
      <c r="E447" s="2" t="s">
        <v>57</v>
      </c>
      <c r="F447" s="2" t="s">
        <v>21</v>
      </c>
      <c r="G447" s="3" t="str">
        <f t="shared" si="1"/>
        <v>P2 - This week</v>
      </c>
      <c r="H447" s="4" t="s">
        <v>821</v>
      </c>
    </row>
    <row r="448" ht="15.75" customHeight="1">
      <c r="A448" s="2" t="s">
        <v>822</v>
      </c>
      <c r="B448" s="2" t="s">
        <v>45</v>
      </c>
      <c r="C448" s="2" t="s">
        <v>36</v>
      </c>
      <c r="D448" s="2" t="s">
        <v>37</v>
      </c>
      <c r="E448" s="2" t="s">
        <v>57</v>
      </c>
      <c r="F448" s="2" t="s">
        <v>21</v>
      </c>
      <c r="G448" s="3" t="str">
        <f t="shared" si="1"/>
        <v>P2 - This week</v>
      </c>
      <c r="H448" s="4" t="s">
        <v>823</v>
      </c>
    </row>
    <row r="449" ht="15.75" customHeight="1">
      <c r="A449" s="2" t="s">
        <v>824</v>
      </c>
      <c r="B449" s="2" t="s">
        <v>45</v>
      </c>
      <c r="C449" s="2" t="s">
        <v>36</v>
      </c>
      <c r="D449" s="2" t="s">
        <v>37</v>
      </c>
      <c r="E449" s="2" t="s">
        <v>57</v>
      </c>
      <c r="F449" s="2" t="s">
        <v>21</v>
      </c>
      <c r="G449" s="3" t="str">
        <f t="shared" si="1"/>
        <v>P2 - This week</v>
      </c>
      <c r="H449" s="4" t="s">
        <v>825</v>
      </c>
    </row>
    <row r="450" ht="15.75" customHeight="1">
      <c r="A450" s="2" t="s">
        <v>826</v>
      </c>
      <c r="B450" s="2" t="s">
        <v>45</v>
      </c>
      <c r="C450" s="2" t="s">
        <v>36</v>
      </c>
      <c r="D450" s="2" t="s">
        <v>37</v>
      </c>
      <c r="E450" s="2" t="s">
        <v>57</v>
      </c>
      <c r="F450" s="2" t="s">
        <v>21</v>
      </c>
      <c r="G450" s="3" t="str">
        <f t="shared" si="1"/>
        <v>P2 - This week</v>
      </c>
      <c r="H450" s="4" t="s">
        <v>827</v>
      </c>
    </row>
    <row r="451" ht="15.75" customHeight="1">
      <c r="A451" s="2" t="s">
        <v>828</v>
      </c>
      <c r="B451" s="2" t="s">
        <v>45</v>
      </c>
      <c r="C451" s="2" t="s">
        <v>36</v>
      </c>
      <c r="D451" s="2" t="s">
        <v>37</v>
      </c>
      <c r="E451" s="2" t="s">
        <v>57</v>
      </c>
      <c r="F451" s="2" t="s">
        <v>21</v>
      </c>
      <c r="G451" s="3" t="str">
        <f t="shared" si="1"/>
        <v>P2 - This week</v>
      </c>
      <c r="H451" s="4" t="s">
        <v>829</v>
      </c>
    </row>
    <row r="452" ht="15.75" customHeight="1">
      <c r="A452" s="2" t="s">
        <v>830</v>
      </c>
      <c r="B452" s="2" t="s">
        <v>45</v>
      </c>
      <c r="C452" s="2" t="s">
        <v>36</v>
      </c>
      <c r="D452" s="2" t="s">
        <v>37</v>
      </c>
      <c r="E452" s="2" t="s">
        <v>57</v>
      </c>
      <c r="F452" s="2" t="s">
        <v>21</v>
      </c>
      <c r="G452" s="3" t="str">
        <f t="shared" si="1"/>
        <v>P2 - This week</v>
      </c>
      <c r="H452" s="4" t="s">
        <v>831</v>
      </c>
    </row>
    <row r="453" ht="15.75" customHeight="1">
      <c r="A453" s="2" t="s">
        <v>832</v>
      </c>
      <c r="B453" s="2" t="s">
        <v>45</v>
      </c>
      <c r="C453" s="2" t="s">
        <v>36</v>
      </c>
      <c r="D453" s="2" t="s">
        <v>37</v>
      </c>
      <c r="E453" s="2" t="s">
        <v>57</v>
      </c>
      <c r="F453" s="2" t="s">
        <v>21</v>
      </c>
      <c r="G453" s="3" t="str">
        <f t="shared" si="1"/>
        <v>P2 - This week</v>
      </c>
      <c r="H453" s="4" t="s">
        <v>833</v>
      </c>
    </row>
    <row r="454" ht="15.75" customHeight="1">
      <c r="A454" s="2" t="s">
        <v>834</v>
      </c>
      <c r="B454" s="2" t="s">
        <v>45</v>
      </c>
      <c r="C454" s="2" t="s">
        <v>36</v>
      </c>
      <c r="D454" s="2" t="s">
        <v>37</v>
      </c>
      <c r="E454" s="2" t="s">
        <v>57</v>
      </c>
      <c r="F454" s="2" t="s">
        <v>21</v>
      </c>
      <c r="G454" s="3" t="str">
        <f t="shared" si="1"/>
        <v>P2 - This week</v>
      </c>
      <c r="H454" s="4" t="s">
        <v>835</v>
      </c>
    </row>
    <row r="455" ht="15.75" customHeight="1">
      <c r="A455" s="2" t="s">
        <v>836</v>
      </c>
      <c r="B455" s="2" t="s">
        <v>45</v>
      </c>
      <c r="C455" s="2" t="s">
        <v>36</v>
      </c>
      <c r="D455" s="2" t="s">
        <v>37</v>
      </c>
      <c r="E455" s="2" t="s">
        <v>57</v>
      </c>
      <c r="F455" s="2" t="s">
        <v>21</v>
      </c>
      <c r="G455" s="3" t="str">
        <f t="shared" si="1"/>
        <v>P2 - This week</v>
      </c>
      <c r="H455" s="4" t="s">
        <v>837</v>
      </c>
    </row>
    <row r="456" ht="15.75" customHeight="1">
      <c r="A456" s="2" t="s">
        <v>838</v>
      </c>
      <c r="B456" s="2" t="s">
        <v>45</v>
      </c>
      <c r="C456" s="2" t="s">
        <v>36</v>
      </c>
      <c r="D456" s="2" t="s">
        <v>37</v>
      </c>
      <c r="E456" s="2" t="s">
        <v>57</v>
      </c>
      <c r="F456" s="2" t="s">
        <v>21</v>
      </c>
      <c r="G456" s="3" t="str">
        <f t="shared" si="1"/>
        <v>P2 - This week</v>
      </c>
      <c r="H456" s="4" t="s">
        <v>839</v>
      </c>
    </row>
    <row r="457" ht="15.75" customHeight="1">
      <c r="A457" s="2" t="s">
        <v>840</v>
      </c>
      <c r="B457" s="2" t="s">
        <v>45</v>
      </c>
      <c r="C457" s="2" t="s">
        <v>36</v>
      </c>
      <c r="D457" s="2" t="s">
        <v>37</v>
      </c>
      <c r="E457" s="2" t="s">
        <v>57</v>
      </c>
      <c r="F457" s="2" t="s">
        <v>21</v>
      </c>
      <c r="G457" s="3" t="str">
        <f t="shared" si="1"/>
        <v>P2 - This week</v>
      </c>
      <c r="H457" s="4" t="s">
        <v>841</v>
      </c>
    </row>
    <row r="458" ht="15.75" customHeight="1">
      <c r="A458" s="2" t="s">
        <v>842</v>
      </c>
      <c r="B458" s="2" t="s">
        <v>45</v>
      </c>
      <c r="C458" s="2" t="s">
        <v>36</v>
      </c>
      <c r="D458" s="2" t="s">
        <v>37</v>
      </c>
      <c r="E458" s="2" t="s">
        <v>57</v>
      </c>
      <c r="F458" s="2" t="s">
        <v>21</v>
      </c>
      <c r="G458" s="3" t="str">
        <f t="shared" si="1"/>
        <v>P2 - This week</v>
      </c>
      <c r="H458" s="4" t="s">
        <v>843</v>
      </c>
    </row>
    <row r="459" ht="15.75" customHeight="1">
      <c r="A459" s="2" t="s">
        <v>844</v>
      </c>
      <c r="B459" s="2" t="s">
        <v>45</v>
      </c>
      <c r="C459" s="2" t="s">
        <v>36</v>
      </c>
      <c r="D459" s="2" t="s">
        <v>37</v>
      </c>
      <c r="E459" s="2" t="s">
        <v>57</v>
      </c>
      <c r="F459" s="2" t="s">
        <v>21</v>
      </c>
      <c r="G459" s="3" t="str">
        <f t="shared" si="1"/>
        <v>P2 - This week</v>
      </c>
      <c r="H459" s="4" t="s">
        <v>845</v>
      </c>
    </row>
    <row r="460" ht="15.75" customHeight="1">
      <c r="A460" s="2" t="s">
        <v>846</v>
      </c>
      <c r="B460" s="2" t="s">
        <v>45</v>
      </c>
      <c r="C460" s="2" t="s">
        <v>36</v>
      </c>
      <c r="D460" s="2" t="s">
        <v>37</v>
      </c>
      <c r="E460" s="2" t="s">
        <v>57</v>
      </c>
      <c r="F460" s="2" t="s">
        <v>21</v>
      </c>
      <c r="G460" s="3" t="str">
        <f t="shared" si="1"/>
        <v>P2 - This week</v>
      </c>
      <c r="H460" s="4" t="s">
        <v>847</v>
      </c>
    </row>
    <row r="461" ht="15.75" customHeight="1">
      <c r="A461" s="2" t="s">
        <v>848</v>
      </c>
      <c r="B461" s="2" t="s">
        <v>517</v>
      </c>
      <c r="C461" s="2" t="s">
        <v>36</v>
      </c>
      <c r="D461" s="2" t="s">
        <v>37</v>
      </c>
      <c r="E461" s="2" t="s">
        <v>57</v>
      </c>
      <c r="F461" s="2" t="s">
        <v>21</v>
      </c>
      <c r="G461" s="3" t="str">
        <f t="shared" si="1"/>
        <v>P2 - This week</v>
      </c>
      <c r="H461" s="4" t="s">
        <v>849</v>
      </c>
    </row>
    <row r="462" ht="15.75" customHeight="1">
      <c r="A462" s="2" t="s">
        <v>848</v>
      </c>
      <c r="B462" s="2" t="s">
        <v>519</v>
      </c>
      <c r="C462" s="2" t="s">
        <v>36</v>
      </c>
      <c r="D462" s="2" t="s">
        <v>37</v>
      </c>
      <c r="E462" s="2" t="s">
        <v>57</v>
      </c>
      <c r="F462" s="2" t="s">
        <v>21</v>
      </c>
      <c r="G462" s="3" t="str">
        <f t="shared" si="1"/>
        <v>P2 - This week</v>
      </c>
      <c r="H462" s="4" t="s">
        <v>849</v>
      </c>
    </row>
    <row r="463" ht="15.75" customHeight="1">
      <c r="A463" s="2" t="s">
        <v>848</v>
      </c>
      <c r="B463" s="2" t="s">
        <v>520</v>
      </c>
      <c r="C463" s="2" t="s">
        <v>36</v>
      </c>
      <c r="D463" s="2" t="s">
        <v>37</v>
      </c>
      <c r="E463" s="2" t="s">
        <v>57</v>
      </c>
      <c r="F463" s="2" t="s">
        <v>21</v>
      </c>
      <c r="G463" s="3" t="str">
        <f t="shared" si="1"/>
        <v>P2 - This week</v>
      </c>
      <c r="H463" s="4" t="s">
        <v>849</v>
      </c>
    </row>
    <row r="464" ht="15.75" customHeight="1">
      <c r="A464" s="2" t="s">
        <v>848</v>
      </c>
      <c r="B464" s="2" t="s">
        <v>521</v>
      </c>
      <c r="C464" s="2" t="s">
        <v>36</v>
      </c>
      <c r="D464" s="2" t="s">
        <v>37</v>
      </c>
      <c r="E464" s="2" t="s">
        <v>57</v>
      </c>
      <c r="F464" s="2" t="s">
        <v>21</v>
      </c>
      <c r="G464" s="3" t="str">
        <f t="shared" si="1"/>
        <v>P2 - This week</v>
      </c>
      <c r="H464" s="4" t="s">
        <v>849</v>
      </c>
    </row>
    <row r="465" ht="15.75" customHeight="1">
      <c r="A465" s="2" t="s">
        <v>850</v>
      </c>
      <c r="B465" s="2" t="s">
        <v>9</v>
      </c>
      <c r="C465" s="2" t="s">
        <v>10</v>
      </c>
      <c r="D465" s="2" t="s">
        <v>11</v>
      </c>
      <c r="E465" s="2" t="s">
        <v>17</v>
      </c>
      <c r="F465" s="2" t="s">
        <v>21</v>
      </c>
      <c r="G465" s="3" t="str">
        <f t="shared" si="1"/>
        <v>P3 - Backlog</v>
      </c>
      <c r="H465" s="4" t="s">
        <v>851</v>
      </c>
    </row>
    <row r="466" ht="15.75" customHeight="1">
      <c r="A466" s="2" t="s">
        <v>852</v>
      </c>
      <c r="B466" s="2" t="s">
        <v>9</v>
      </c>
      <c r="C466" s="2" t="s">
        <v>10</v>
      </c>
      <c r="D466" s="2" t="s">
        <v>11</v>
      </c>
      <c r="E466" s="2" t="s">
        <v>17</v>
      </c>
      <c r="F466" s="2" t="s">
        <v>21</v>
      </c>
      <c r="G466" s="3" t="str">
        <f t="shared" si="1"/>
        <v>P3 - Backlog</v>
      </c>
      <c r="H466" s="4" t="s">
        <v>853</v>
      </c>
    </row>
    <row r="467" ht="15.75" customHeight="1">
      <c r="A467" s="2" t="s">
        <v>854</v>
      </c>
      <c r="B467" s="2" t="s">
        <v>9</v>
      </c>
      <c r="C467" s="2" t="s">
        <v>10</v>
      </c>
      <c r="D467" s="2" t="s">
        <v>11</v>
      </c>
      <c r="E467" s="2" t="s">
        <v>17</v>
      </c>
      <c r="F467" s="2" t="s">
        <v>21</v>
      </c>
      <c r="G467" s="3" t="str">
        <f t="shared" si="1"/>
        <v>P3 - Backlog</v>
      </c>
      <c r="H467" s="4" t="s">
        <v>855</v>
      </c>
    </row>
    <row r="468" ht="15.75" customHeight="1">
      <c r="A468" s="2" t="s">
        <v>856</v>
      </c>
      <c r="B468" s="2" t="s">
        <v>9</v>
      </c>
      <c r="C468" s="2" t="s">
        <v>10</v>
      </c>
      <c r="D468" s="2" t="s">
        <v>11</v>
      </c>
      <c r="E468" s="2" t="s">
        <v>17</v>
      </c>
      <c r="F468" s="2" t="s">
        <v>21</v>
      </c>
      <c r="G468" s="3" t="str">
        <f t="shared" si="1"/>
        <v>P3 - Backlog</v>
      </c>
      <c r="H468" s="4" t="s">
        <v>857</v>
      </c>
    </row>
    <row r="469" ht="15.75" customHeight="1">
      <c r="A469" s="2" t="s">
        <v>858</v>
      </c>
      <c r="B469" s="2" t="s">
        <v>9</v>
      </c>
      <c r="C469" s="2" t="s">
        <v>10</v>
      </c>
      <c r="D469" s="2" t="s">
        <v>11</v>
      </c>
      <c r="E469" s="2" t="s">
        <v>17</v>
      </c>
      <c r="F469" s="2" t="s">
        <v>21</v>
      </c>
      <c r="G469" s="3" t="str">
        <f t="shared" si="1"/>
        <v>P3 - Backlog</v>
      </c>
      <c r="H469" s="4" t="s">
        <v>859</v>
      </c>
    </row>
    <row r="470" ht="15.75" customHeight="1">
      <c r="A470" s="2" t="s">
        <v>860</v>
      </c>
      <c r="B470" s="2" t="s">
        <v>9</v>
      </c>
      <c r="C470" s="2" t="s">
        <v>10</v>
      </c>
      <c r="D470" s="2" t="s">
        <v>11</v>
      </c>
      <c r="E470" s="2" t="s">
        <v>17</v>
      </c>
      <c r="F470" s="2" t="s">
        <v>21</v>
      </c>
      <c r="G470" s="3" t="str">
        <f t="shared" si="1"/>
        <v>P3 - Backlog</v>
      </c>
      <c r="H470" s="4" t="s">
        <v>861</v>
      </c>
    </row>
    <row r="471" ht="15.75" customHeight="1">
      <c r="A471" s="2" t="s">
        <v>862</v>
      </c>
      <c r="B471" s="2" t="s">
        <v>9</v>
      </c>
      <c r="C471" s="2" t="s">
        <v>10</v>
      </c>
      <c r="D471" s="2" t="s">
        <v>11</v>
      </c>
      <c r="E471" s="2" t="s">
        <v>17</v>
      </c>
      <c r="F471" s="2" t="s">
        <v>21</v>
      </c>
      <c r="G471" s="3" t="str">
        <f t="shared" si="1"/>
        <v>P3 - Backlog</v>
      </c>
      <c r="H471" s="4" t="s">
        <v>863</v>
      </c>
    </row>
    <row r="472" ht="15.75" customHeight="1">
      <c r="A472" s="2" t="s">
        <v>864</v>
      </c>
      <c r="B472" s="2" t="s">
        <v>9</v>
      </c>
      <c r="C472" s="2" t="s">
        <v>10</v>
      </c>
      <c r="D472" s="2" t="s">
        <v>11</v>
      </c>
      <c r="E472" s="2" t="s">
        <v>17</v>
      </c>
      <c r="F472" s="2" t="s">
        <v>21</v>
      </c>
      <c r="G472" s="3" t="str">
        <f t="shared" si="1"/>
        <v>P3 - Backlog</v>
      </c>
      <c r="H472" s="4" t="s">
        <v>865</v>
      </c>
    </row>
    <row r="473" ht="15.75" customHeight="1">
      <c r="A473" s="2" t="s">
        <v>866</v>
      </c>
      <c r="B473" s="2" t="s">
        <v>9</v>
      </c>
      <c r="C473" s="2" t="s">
        <v>10</v>
      </c>
      <c r="D473" s="2" t="s">
        <v>11</v>
      </c>
      <c r="E473" s="2" t="s">
        <v>17</v>
      </c>
      <c r="F473" s="2" t="s">
        <v>21</v>
      </c>
      <c r="G473" s="3" t="str">
        <f t="shared" si="1"/>
        <v>P3 - Backlog</v>
      </c>
      <c r="H473" s="4" t="s">
        <v>867</v>
      </c>
    </row>
    <row r="474" ht="15.75" customHeight="1">
      <c r="A474" s="2" t="s">
        <v>868</v>
      </c>
      <c r="B474" s="2" t="s">
        <v>9</v>
      </c>
      <c r="C474" s="2" t="s">
        <v>10</v>
      </c>
      <c r="D474" s="2" t="s">
        <v>11</v>
      </c>
      <c r="E474" s="2" t="s">
        <v>17</v>
      </c>
      <c r="F474" s="2" t="s">
        <v>21</v>
      </c>
      <c r="G474" s="3" t="str">
        <f t="shared" si="1"/>
        <v>P3 - Backlog</v>
      </c>
      <c r="H474" s="4" t="s">
        <v>869</v>
      </c>
    </row>
    <row r="475" ht="15.75" customHeight="1">
      <c r="A475" s="2" t="s">
        <v>870</v>
      </c>
      <c r="B475" s="2" t="s">
        <v>9</v>
      </c>
      <c r="C475" s="2" t="s">
        <v>10</v>
      </c>
      <c r="D475" s="2" t="s">
        <v>11</v>
      </c>
      <c r="E475" s="2" t="s">
        <v>17</v>
      </c>
      <c r="F475" s="2" t="s">
        <v>21</v>
      </c>
      <c r="G475" s="3" t="str">
        <f t="shared" si="1"/>
        <v>P3 - Backlog</v>
      </c>
      <c r="H475" s="4" t="s">
        <v>869</v>
      </c>
    </row>
    <row r="476" ht="15.75" customHeight="1">
      <c r="A476" s="2" t="s">
        <v>871</v>
      </c>
      <c r="B476" s="2" t="s">
        <v>9</v>
      </c>
      <c r="C476" s="2" t="s">
        <v>10</v>
      </c>
      <c r="D476" s="2" t="s">
        <v>11</v>
      </c>
      <c r="E476" s="2" t="s">
        <v>17</v>
      </c>
      <c r="F476" s="2" t="s">
        <v>21</v>
      </c>
      <c r="G476" s="3" t="str">
        <f t="shared" si="1"/>
        <v>P3 - Backlog</v>
      </c>
      <c r="H476" s="4" t="s">
        <v>872</v>
      </c>
    </row>
    <row r="477" ht="15.75" customHeight="1">
      <c r="A477" s="2" t="s">
        <v>873</v>
      </c>
      <c r="B477" s="2" t="s">
        <v>9</v>
      </c>
      <c r="C477" s="2" t="s">
        <v>10</v>
      </c>
      <c r="D477" s="2" t="s">
        <v>11</v>
      </c>
      <c r="E477" s="2" t="s">
        <v>17</v>
      </c>
      <c r="F477" s="2" t="s">
        <v>21</v>
      </c>
      <c r="G477" s="3" t="str">
        <f t="shared" si="1"/>
        <v>P3 - Backlog</v>
      </c>
      <c r="H477" s="4" t="s">
        <v>874</v>
      </c>
    </row>
    <row r="478" ht="15.75" customHeight="1">
      <c r="A478" s="2" t="s">
        <v>875</v>
      </c>
      <c r="B478" s="2" t="s">
        <v>9</v>
      </c>
      <c r="C478" s="2" t="s">
        <v>10</v>
      </c>
      <c r="D478" s="2" t="s">
        <v>11</v>
      </c>
      <c r="E478" s="2" t="s">
        <v>17</v>
      </c>
      <c r="F478" s="2" t="s">
        <v>21</v>
      </c>
      <c r="G478" s="3" t="str">
        <f t="shared" si="1"/>
        <v>P3 - Backlog</v>
      </c>
      <c r="H478" s="4" t="s">
        <v>874</v>
      </c>
    </row>
    <row r="479" ht="15.75" customHeight="1">
      <c r="A479" s="2" t="s">
        <v>876</v>
      </c>
      <c r="B479" s="2" t="s">
        <v>9</v>
      </c>
      <c r="C479" s="2" t="s">
        <v>10</v>
      </c>
      <c r="D479" s="2" t="s">
        <v>11</v>
      </c>
      <c r="E479" s="2" t="s">
        <v>17</v>
      </c>
      <c r="F479" s="2" t="s">
        <v>21</v>
      </c>
      <c r="G479" s="3" t="str">
        <f t="shared" si="1"/>
        <v>P3 - Backlog</v>
      </c>
      <c r="H479" s="4" t="s">
        <v>874</v>
      </c>
    </row>
    <row r="480" ht="15.75" customHeight="1">
      <c r="A480" s="2" t="s">
        <v>877</v>
      </c>
      <c r="B480" s="2" t="s">
        <v>9</v>
      </c>
      <c r="C480" s="2" t="s">
        <v>10</v>
      </c>
      <c r="D480" s="2" t="s">
        <v>11</v>
      </c>
      <c r="E480" s="2" t="s">
        <v>17</v>
      </c>
      <c r="F480" s="2" t="s">
        <v>21</v>
      </c>
      <c r="G480" s="3" t="str">
        <f t="shared" si="1"/>
        <v>P3 - Backlog</v>
      </c>
      <c r="H480" s="4" t="s">
        <v>878</v>
      </c>
    </row>
    <row r="481" ht="15.75" customHeight="1">
      <c r="A481" s="2" t="s">
        <v>879</v>
      </c>
      <c r="B481" s="2" t="s">
        <v>9</v>
      </c>
      <c r="C481" s="2" t="s">
        <v>10</v>
      </c>
      <c r="D481" s="2" t="s">
        <v>11</v>
      </c>
      <c r="E481" s="2" t="s">
        <v>17</v>
      </c>
      <c r="F481" s="2" t="s">
        <v>21</v>
      </c>
      <c r="G481" s="3" t="str">
        <f t="shared" si="1"/>
        <v>P3 - Backlog</v>
      </c>
      <c r="H481" s="4" t="s">
        <v>880</v>
      </c>
    </row>
    <row r="482" ht="15.75" customHeight="1">
      <c r="A482" s="2" t="s">
        <v>881</v>
      </c>
      <c r="B482" s="2" t="s">
        <v>9</v>
      </c>
      <c r="C482" s="2" t="s">
        <v>10</v>
      </c>
      <c r="D482" s="2" t="s">
        <v>11</v>
      </c>
      <c r="E482" s="2" t="s">
        <v>17</v>
      </c>
      <c r="F482" s="2" t="s">
        <v>21</v>
      </c>
      <c r="G482" s="3" t="str">
        <f t="shared" si="1"/>
        <v>P3 - Backlog</v>
      </c>
      <c r="H482" s="4" t="s">
        <v>882</v>
      </c>
    </row>
    <row r="483" ht="15.75" customHeight="1">
      <c r="A483" s="2" t="s">
        <v>883</v>
      </c>
      <c r="B483" s="2" t="s">
        <v>9</v>
      </c>
      <c r="C483" s="2" t="s">
        <v>10</v>
      </c>
      <c r="D483" s="2" t="s">
        <v>11</v>
      </c>
      <c r="E483" s="2" t="s">
        <v>17</v>
      </c>
      <c r="F483" s="2" t="s">
        <v>21</v>
      </c>
      <c r="G483" s="3" t="str">
        <f t="shared" si="1"/>
        <v>P3 - Backlog</v>
      </c>
      <c r="H483" s="4" t="s">
        <v>855</v>
      </c>
    </row>
    <row r="484" ht="15.75" customHeight="1">
      <c r="A484" s="2" t="s">
        <v>884</v>
      </c>
      <c r="B484" s="2" t="s">
        <v>9</v>
      </c>
      <c r="C484" s="2" t="s">
        <v>10</v>
      </c>
      <c r="D484" s="2" t="s">
        <v>11</v>
      </c>
      <c r="E484" s="2" t="s">
        <v>17</v>
      </c>
      <c r="F484" s="2" t="s">
        <v>21</v>
      </c>
      <c r="G484" s="3" t="str">
        <f t="shared" si="1"/>
        <v>P3 - Backlog</v>
      </c>
      <c r="H484" s="4" t="s">
        <v>885</v>
      </c>
    </row>
    <row r="485" ht="15.75" customHeight="1">
      <c r="A485" s="2" t="s">
        <v>886</v>
      </c>
      <c r="B485" s="2" t="s">
        <v>9</v>
      </c>
      <c r="C485" s="2" t="s">
        <v>10</v>
      </c>
      <c r="D485" s="2" t="s">
        <v>11</v>
      </c>
      <c r="E485" s="2" t="s">
        <v>17</v>
      </c>
      <c r="F485" s="2" t="s">
        <v>21</v>
      </c>
      <c r="G485" s="3" t="str">
        <f t="shared" si="1"/>
        <v>P3 - Backlog</v>
      </c>
      <c r="H485" s="4" t="s">
        <v>887</v>
      </c>
    </row>
    <row r="486" ht="15.75" customHeight="1">
      <c r="A486" s="2" t="s">
        <v>888</v>
      </c>
      <c r="B486" s="2" t="s">
        <v>9</v>
      </c>
      <c r="C486" s="2" t="s">
        <v>10</v>
      </c>
      <c r="D486" s="2" t="s">
        <v>11</v>
      </c>
      <c r="E486" s="2" t="s">
        <v>17</v>
      </c>
      <c r="F486" s="2" t="s">
        <v>21</v>
      </c>
      <c r="G486" s="3" t="str">
        <f t="shared" si="1"/>
        <v>P3 - Backlog</v>
      </c>
      <c r="H486" s="4" t="s">
        <v>889</v>
      </c>
    </row>
    <row r="487" ht="15.75" customHeight="1">
      <c r="A487" s="2" t="s">
        <v>890</v>
      </c>
      <c r="B487" s="2" t="s">
        <v>9</v>
      </c>
      <c r="C487" s="2" t="s">
        <v>10</v>
      </c>
      <c r="D487" s="2" t="s">
        <v>11</v>
      </c>
      <c r="E487" s="2" t="s">
        <v>17</v>
      </c>
      <c r="F487" s="2" t="s">
        <v>21</v>
      </c>
      <c r="G487" s="3" t="str">
        <f t="shared" si="1"/>
        <v>P3 - Backlog</v>
      </c>
      <c r="H487" s="4" t="s">
        <v>891</v>
      </c>
    </row>
    <row r="488" ht="15.75" customHeight="1">
      <c r="A488" s="2" t="s">
        <v>892</v>
      </c>
      <c r="B488" s="2" t="s">
        <v>9</v>
      </c>
      <c r="C488" s="2" t="s">
        <v>10</v>
      </c>
      <c r="D488" s="2" t="s">
        <v>11</v>
      </c>
      <c r="E488" s="2" t="s">
        <v>17</v>
      </c>
      <c r="F488" s="2" t="s">
        <v>21</v>
      </c>
      <c r="G488" s="3" t="str">
        <f t="shared" si="1"/>
        <v>P3 - Backlog</v>
      </c>
      <c r="H488" s="4" t="s">
        <v>893</v>
      </c>
    </row>
    <row r="489" ht="15.75" customHeight="1">
      <c r="A489" s="2" t="s">
        <v>894</v>
      </c>
      <c r="B489" s="2" t="s">
        <v>9</v>
      </c>
      <c r="C489" s="2" t="s">
        <v>10</v>
      </c>
      <c r="D489" s="2" t="s">
        <v>11</v>
      </c>
      <c r="E489" s="2" t="s">
        <v>17</v>
      </c>
      <c r="F489" s="2" t="s">
        <v>21</v>
      </c>
      <c r="G489" s="3" t="str">
        <f t="shared" si="1"/>
        <v>P3 - Backlog</v>
      </c>
      <c r="H489" s="4" t="s">
        <v>893</v>
      </c>
    </row>
    <row r="490" ht="15.75" customHeight="1">
      <c r="A490" s="2" t="s">
        <v>895</v>
      </c>
      <c r="B490" s="2" t="s">
        <v>9</v>
      </c>
      <c r="C490" s="2" t="s">
        <v>10</v>
      </c>
      <c r="D490" s="2" t="s">
        <v>11</v>
      </c>
      <c r="E490" s="2" t="s">
        <v>17</v>
      </c>
      <c r="F490" s="2" t="s">
        <v>21</v>
      </c>
      <c r="G490" s="3" t="str">
        <f t="shared" si="1"/>
        <v>P3 - Backlog</v>
      </c>
      <c r="H490" s="4" t="s">
        <v>893</v>
      </c>
    </row>
    <row r="491" ht="15.75" customHeight="1">
      <c r="A491" s="2" t="s">
        <v>896</v>
      </c>
      <c r="B491" s="2" t="s">
        <v>9</v>
      </c>
      <c r="C491" s="2" t="s">
        <v>10</v>
      </c>
      <c r="D491" s="2" t="s">
        <v>11</v>
      </c>
      <c r="E491" s="2" t="s">
        <v>17</v>
      </c>
      <c r="F491" s="2" t="s">
        <v>21</v>
      </c>
      <c r="G491" s="3" t="str">
        <f t="shared" si="1"/>
        <v>P3 - Backlog</v>
      </c>
      <c r="H491" s="4" t="s">
        <v>897</v>
      </c>
    </row>
    <row r="492" ht="15.75" customHeight="1">
      <c r="A492" s="2" t="s">
        <v>898</v>
      </c>
      <c r="B492" s="2" t="s">
        <v>9</v>
      </c>
      <c r="C492" s="2" t="s">
        <v>10</v>
      </c>
      <c r="D492" s="2" t="s">
        <v>11</v>
      </c>
      <c r="E492" s="2" t="s">
        <v>17</v>
      </c>
      <c r="F492" s="2" t="s">
        <v>21</v>
      </c>
      <c r="G492" s="3" t="str">
        <f t="shared" si="1"/>
        <v>P3 - Backlog</v>
      </c>
      <c r="H492" s="4" t="s">
        <v>899</v>
      </c>
    </row>
    <row r="493" ht="15.75" customHeight="1">
      <c r="A493" s="2" t="s">
        <v>900</v>
      </c>
      <c r="B493" s="2" t="s">
        <v>9</v>
      </c>
      <c r="C493" s="2" t="s">
        <v>10</v>
      </c>
      <c r="D493" s="2" t="s">
        <v>11</v>
      </c>
      <c r="E493" s="2" t="s">
        <v>17</v>
      </c>
      <c r="F493" s="2" t="s">
        <v>21</v>
      </c>
      <c r="G493" s="3" t="str">
        <f t="shared" si="1"/>
        <v>P3 - Backlog</v>
      </c>
      <c r="H493" s="4" t="s">
        <v>901</v>
      </c>
    </row>
    <row r="494" ht="15.75" customHeight="1">
      <c r="A494" s="2" t="s">
        <v>902</v>
      </c>
      <c r="B494" s="2" t="s">
        <v>9</v>
      </c>
      <c r="C494" s="2" t="s">
        <v>10</v>
      </c>
      <c r="D494" s="2" t="s">
        <v>11</v>
      </c>
      <c r="E494" s="2" t="s">
        <v>17</v>
      </c>
      <c r="F494" s="2" t="s">
        <v>21</v>
      </c>
      <c r="G494" s="3" t="str">
        <f t="shared" si="1"/>
        <v>P3 - Backlog</v>
      </c>
      <c r="H494" s="4" t="s">
        <v>903</v>
      </c>
    </row>
    <row r="495" ht="15.75" customHeight="1">
      <c r="A495" s="2" t="s">
        <v>904</v>
      </c>
      <c r="B495" s="2" t="s">
        <v>9</v>
      </c>
      <c r="C495" s="2" t="s">
        <v>10</v>
      </c>
      <c r="D495" s="2" t="s">
        <v>11</v>
      </c>
      <c r="E495" s="2" t="s">
        <v>17</v>
      </c>
      <c r="F495" s="2" t="s">
        <v>21</v>
      </c>
      <c r="G495" s="3" t="str">
        <f t="shared" si="1"/>
        <v>P3 - Backlog</v>
      </c>
      <c r="H495" s="4" t="s">
        <v>905</v>
      </c>
    </row>
    <row r="496" ht="15.75" customHeight="1">
      <c r="A496" s="2" t="s">
        <v>906</v>
      </c>
      <c r="B496" s="2" t="s">
        <v>9</v>
      </c>
      <c r="C496" s="2" t="s">
        <v>10</v>
      </c>
      <c r="D496" s="2" t="s">
        <v>11</v>
      </c>
      <c r="E496" s="2" t="s">
        <v>17</v>
      </c>
      <c r="F496" s="2" t="s">
        <v>21</v>
      </c>
      <c r="G496" s="3" t="str">
        <f t="shared" si="1"/>
        <v>P3 - Backlog</v>
      </c>
      <c r="H496" s="4" t="s">
        <v>907</v>
      </c>
    </row>
    <row r="497" ht="15.75" customHeight="1">
      <c r="A497" s="2" t="s">
        <v>908</v>
      </c>
      <c r="B497" s="2" t="s">
        <v>9</v>
      </c>
      <c r="C497" s="2" t="s">
        <v>10</v>
      </c>
      <c r="D497" s="2" t="s">
        <v>11</v>
      </c>
      <c r="E497" s="2" t="s">
        <v>17</v>
      </c>
      <c r="F497" s="2" t="s">
        <v>21</v>
      </c>
      <c r="G497" s="3" t="str">
        <f t="shared" si="1"/>
        <v>P3 - Backlog</v>
      </c>
      <c r="H497" s="4" t="s">
        <v>909</v>
      </c>
    </row>
    <row r="498" ht="15.75" customHeight="1">
      <c r="A498" s="2" t="s">
        <v>910</v>
      </c>
      <c r="B498" s="2" t="s">
        <v>9</v>
      </c>
      <c r="C498" s="2" t="s">
        <v>10</v>
      </c>
      <c r="D498" s="2" t="s">
        <v>11</v>
      </c>
      <c r="E498" s="2" t="s">
        <v>17</v>
      </c>
      <c r="F498" s="2" t="s">
        <v>21</v>
      </c>
      <c r="G498" s="3" t="str">
        <f t="shared" si="1"/>
        <v>P3 - Backlog</v>
      </c>
      <c r="H498" s="4" t="s">
        <v>911</v>
      </c>
    </row>
    <row r="499" ht="15.75" customHeight="1">
      <c r="A499" s="2" t="s">
        <v>912</v>
      </c>
      <c r="B499" s="2" t="s">
        <v>9</v>
      </c>
      <c r="C499" s="2" t="s">
        <v>10</v>
      </c>
      <c r="D499" s="2" t="s">
        <v>11</v>
      </c>
      <c r="E499" s="2" t="s">
        <v>17</v>
      </c>
      <c r="F499" s="2" t="s">
        <v>21</v>
      </c>
      <c r="G499" s="3" t="str">
        <f t="shared" si="1"/>
        <v>P3 - Backlog</v>
      </c>
      <c r="H499" s="4" t="s">
        <v>913</v>
      </c>
    </row>
    <row r="500" ht="15.75" customHeight="1">
      <c r="A500" s="2" t="s">
        <v>914</v>
      </c>
      <c r="B500" s="2" t="s">
        <v>9</v>
      </c>
      <c r="C500" s="2" t="s">
        <v>10</v>
      </c>
      <c r="D500" s="2" t="s">
        <v>11</v>
      </c>
      <c r="E500" s="2" t="s">
        <v>17</v>
      </c>
      <c r="F500" s="2" t="s">
        <v>21</v>
      </c>
      <c r="G500" s="3" t="str">
        <f t="shared" si="1"/>
        <v>P3 - Backlog</v>
      </c>
      <c r="H500" s="4" t="s">
        <v>915</v>
      </c>
    </row>
    <row r="501" ht="15.75" customHeight="1">
      <c r="A501" s="2" t="s">
        <v>916</v>
      </c>
      <c r="B501" s="2" t="s">
        <v>9</v>
      </c>
      <c r="C501" s="2" t="s">
        <v>10</v>
      </c>
      <c r="D501" s="2" t="s">
        <v>11</v>
      </c>
      <c r="E501" s="2" t="s">
        <v>17</v>
      </c>
      <c r="F501" s="2" t="s">
        <v>21</v>
      </c>
      <c r="G501" s="3" t="str">
        <f t="shared" si="1"/>
        <v>P3 - Backlog</v>
      </c>
      <c r="H501" s="4" t="s">
        <v>917</v>
      </c>
    </row>
    <row r="502" ht="15.75" customHeight="1">
      <c r="A502" s="2" t="s">
        <v>918</v>
      </c>
      <c r="B502" s="2" t="s">
        <v>9</v>
      </c>
      <c r="C502" s="2" t="s">
        <v>10</v>
      </c>
      <c r="D502" s="2" t="s">
        <v>11</v>
      </c>
      <c r="E502" s="2" t="s">
        <v>17</v>
      </c>
      <c r="F502" s="2" t="s">
        <v>21</v>
      </c>
      <c r="G502" s="3" t="str">
        <f t="shared" si="1"/>
        <v>P3 - Backlog</v>
      </c>
      <c r="H502" s="4" t="s">
        <v>882</v>
      </c>
    </row>
    <row r="503" ht="15.75" customHeight="1">
      <c r="A503" s="2" t="s">
        <v>919</v>
      </c>
      <c r="B503" s="2" t="s">
        <v>9</v>
      </c>
      <c r="C503" s="2" t="s">
        <v>10</v>
      </c>
      <c r="D503" s="2" t="s">
        <v>11</v>
      </c>
      <c r="E503" s="2" t="s">
        <v>17</v>
      </c>
      <c r="F503" s="2" t="s">
        <v>21</v>
      </c>
      <c r="G503" s="3" t="str">
        <f t="shared" si="1"/>
        <v>P3 - Backlog</v>
      </c>
      <c r="H503" s="4" t="s">
        <v>920</v>
      </c>
    </row>
    <row r="504" ht="15.75" customHeight="1">
      <c r="A504" s="2" t="s">
        <v>921</v>
      </c>
      <c r="B504" s="2" t="s">
        <v>9</v>
      </c>
      <c r="C504" s="2" t="s">
        <v>10</v>
      </c>
      <c r="D504" s="2" t="s">
        <v>11</v>
      </c>
      <c r="E504" s="2" t="s">
        <v>17</v>
      </c>
      <c r="F504" s="2" t="s">
        <v>21</v>
      </c>
      <c r="G504" s="3" t="str">
        <f t="shared" si="1"/>
        <v>P3 - Backlog</v>
      </c>
      <c r="H504" s="4" t="s">
        <v>922</v>
      </c>
    </row>
    <row r="505" ht="15.75" customHeight="1">
      <c r="A505" s="2" t="s">
        <v>923</v>
      </c>
      <c r="B505" s="2" t="s">
        <v>9</v>
      </c>
      <c r="C505" s="2" t="s">
        <v>10</v>
      </c>
      <c r="D505" s="2" t="s">
        <v>11</v>
      </c>
      <c r="E505" s="2" t="s">
        <v>17</v>
      </c>
      <c r="F505" s="2" t="s">
        <v>21</v>
      </c>
      <c r="G505" s="3" t="str">
        <f t="shared" si="1"/>
        <v>P3 - Backlog</v>
      </c>
      <c r="H505" s="4" t="s">
        <v>924</v>
      </c>
    </row>
    <row r="506" ht="15.75" customHeight="1">
      <c r="A506" s="2" t="s">
        <v>925</v>
      </c>
      <c r="B506" s="2" t="s">
        <v>9</v>
      </c>
      <c r="C506" s="2" t="s">
        <v>10</v>
      </c>
      <c r="D506" s="2" t="s">
        <v>11</v>
      </c>
      <c r="E506" s="2" t="s">
        <v>17</v>
      </c>
      <c r="F506" s="2" t="s">
        <v>21</v>
      </c>
      <c r="G506" s="3" t="str">
        <f t="shared" si="1"/>
        <v>P3 - Backlog</v>
      </c>
      <c r="H506" s="4" t="s">
        <v>926</v>
      </c>
    </row>
    <row r="507" ht="15.75" customHeight="1">
      <c r="A507" s="2" t="s">
        <v>927</v>
      </c>
      <c r="B507" s="2" t="s">
        <v>9</v>
      </c>
      <c r="C507" s="2" t="s">
        <v>10</v>
      </c>
      <c r="D507" s="2" t="s">
        <v>11</v>
      </c>
      <c r="E507" s="2" t="s">
        <v>17</v>
      </c>
      <c r="F507" s="2" t="s">
        <v>21</v>
      </c>
      <c r="G507" s="3" t="str">
        <f t="shared" si="1"/>
        <v>P3 - Backlog</v>
      </c>
      <c r="H507" s="4" t="s">
        <v>928</v>
      </c>
    </row>
    <row r="508" ht="15.75" customHeight="1">
      <c r="A508" s="2" t="s">
        <v>929</v>
      </c>
      <c r="B508" s="2" t="s">
        <v>9</v>
      </c>
      <c r="C508" s="2" t="s">
        <v>10</v>
      </c>
      <c r="D508" s="2" t="s">
        <v>11</v>
      </c>
      <c r="E508" s="2" t="s">
        <v>17</v>
      </c>
      <c r="F508" s="2" t="s">
        <v>21</v>
      </c>
      <c r="G508" s="3" t="str">
        <f t="shared" si="1"/>
        <v>P3 - Backlog</v>
      </c>
      <c r="H508" s="4" t="s">
        <v>928</v>
      </c>
    </row>
    <row r="509" ht="15.75" customHeight="1">
      <c r="A509" s="2" t="s">
        <v>930</v>
      </c>
      <c r="B509" s="2" t="s">
        <v>9</v>
      </c>
      <c r="C509" s="2" t="s">
        <v>10</v>
      </c>
      <c r="D509" s="2" t="s">
        <v>11</v>
      </c>
      <c r="E509" s="2" t="s">
        <v>17</v>
      </c>
      <c r="F509" s="2" t="s">
        <v>21</v>
      </c>
      <c r="G509" s="3" t="str">
        <f t="shared" si="1"/>
        <v>P3 - Backlog</v>
      </c>
      <c r="H509" s="4" t="s">
        <v>931</v>
      </c>
    </row>
    <row r="510" ht="15.75" customHeight="1">
      <c r="A510" s="2" t="s">
        <v>932</v>
      </c>
      <c r="B510" s="2" t="s">
        <v>9</v>
      </c>
      <c r="C510" s="2" t="s">
        <v>10</v>
      </c>
      <c r="D510" s="2" t="s">
        <v>11</v>
      </c>
      <c r="E510" s="2" t="s">
        <v>17</v>
      </c>
      <c r="F510" s="2" t="s">
        <v>21</v>
      </c>
      <c r="G510" s="3" t="str">
        <f t="shared" si="1"/>
        <v>P3 - Backlog</v>
      </c>
      <c r="H510" s="4" t="s">
        <v>928</v>
      </c>
    </row>
    <row r="511" ht="15.75" customHeight="1">
      <c r="A511" s="2" t="s">
        <v>933</v>
      </c>
      <c r="B511" s="2" t="s">
        <v>9</v>
      </c>
      <c r="C511" s="2" t="s">
        <v>10</v>
      </c>
      <c r="D511" s="2" t="s">
        <v>11</v>
      </c>
      <c r="E511" s="2" t="s">
        <v>17</v>
      </c>
      <c r="F511" s="2" t="s">
        <v>21</v>
      </c>
      <c r="G511" s="3" t="str">
        <f t="shared" si="1"/>
        <v>P3 - Backlog</v>
      </c>
      <c r="H511" s="4" t="s">
        <v>934</v>
      </c>
    </row>
    <row r="512" ht="15.75" customHeight="1">
      <c r="A512" s="2" t="s">
        <v>935</v>
      </c>
      <c r="B512" s="2" t="s">
        <v>9</v>
      </c>
      <c r="C512" s="2" t="s">
        <v>10</v>
      </c>
      <c r="D512" s="2" t="s">
        <v>11</v>
      </c>
      <c r="E512" s="2" t="s">
        <v>17</v>
      </c>
      <c r="F512" s="2" t="s">
        <v>21</v>
      </c>
      <c r="G512" s="3" t="str">
        <f t="shared" si="1"/>
        <v>P3 - Backlog</v>
      </c>
      <c r="H512" s="4" t="s">
        <v>936</v>
      </c>
    </row>
    <row r="513" ht="15.75" customHeight="1">
      <c r="A513" s="2" t="s">
        <v>937</v>
      </c>
      <c r="B513" s="2" t="s">
        <v>9</v>
      </c>
      <c r="C513" s="2" t="s">
        <v>10</v>
      </c>
      <c r="D513" s="2" t="s">
        <v>11</v>
      </c>
      <c r="E513" s="2" t="s">
        <v>17</v>
      </c>
      <c r="F513" s="2" t="s">
        <v>21</v>
      </c>
      <c r="G513" s="3" t="str">
        <f t="shared" si="1"/>
        <v>P3 - Backlog</v>
      </c>
      <c r="H513" s="4" t="s">
        <v>938</v>
      </c>
    </row>
    <row r="514" ht="15.75" customHeight="1">
      <c r="A514" s="2" t="s">
        <v>939</v>
      </c>
      <c r="B514" s="2" t="s">
        <v>9</v>
      </c>
      <c r="C514" s="2" t="s">
        <v>10</v>
      </c>
      <c r="D514" s="2" t="s">
        <v>11</v>
      </c>
      <c r="E514" s="2" t="s">
        <v>17</v>
      </c>
      <c r="F514" s="2" t="s">
        <v>21</v>
      </c>
      <c r="G514" s="3" t="str">
        <f t="shared" si="1"/>
        <v>P3 - Backlog</v>
      </c>
      <c r="H514" s="4" t="s">
        <v>940</v>
      </c>
    </row>
    <row r="515" ht="15.75" customHeight="1">
      <c r="A515" s="2" t="s">
        <v>941</v>
      </c>
      <c r="B515" s="2" t="s">
        <v>9</v>
      </c>
      <c r="C515" s="2" t="s">
        <v>10</v>
      </c>
      <c r="D515" s="2" t="s">
        <v>11</v>
      </c>
      <c r="E515" s="2" t="s">
        <v>17</v>
      </c>
      <c r="F515" s="2" t="s">
        <v>21</v>
      </c>
      <c r="G515" s="3" t="str">
        <f t="shared" si="1"/>
        <v>P3 - Backlog</v>
      </c>
      <c r="H515" s="4" t="s">
        <v>942</v>
      </c>
    </row>
    <row r="516" ht="15.75" customHeight="1">
      <c r="A516" s="2" t="s">
        <v>943</v>
      </c>
      <c r="B516" s="2" t="s">
        <v>9</v>
      </c>
      <c r="C516" s="2" t="s">
        <v>10</v>
      </c>
      <c r="D516" s="2" t="s">
        <v>11</v>
      </c>
      <c r="E516" s="2" t="s">
        <v>17</v>
      </c>
      <c r="F516" s="2" t="s">
        <v>21</v>
      </c>
      <c r="G516" s="3" t="str">
        <f t="shared" si="1"/>
        <v>P3 - Backlog</v>
      </c>
      <c r="H516" s="4" t="s">
        <v>944</v>
      </c>
    </row>
    <row r="517" ht="15.75" customHeight="1">
      <c r="A517" s="2" t="s">
        <v>945</v>
      </c>
      <c r="B517" s="2" t="s">
        <v>9</v>
      </c>
      <c r="C517" s="2" t="s">
        <v>10</v>
      </c>
      <c r="D517" s="2" t="s">
        <v>11</v>
      </c>
      <c r="E517" s="2" t="s">
        <v>17</v>
      </c>
      <c r="F517" s="2" t="s">
        <v>21</v>
      </c>
      <c r="G517" s="3" t="str">
        <f t="shared" si="1"/>
        <v>P3 - Backlog</v>
      </c>
      <c r="H517" s="4" t="s">
        <v>946</v>
      </c>
    </row>
    <row r="518" ht="15.75" customHeight="1">
      <c r="A518" s="2" t="s">
        <v>947</v>
      </c>
      <c r="B518" s="2" t="s">
        <v>9</v>
      </c>
      <c r="C518" s="2" t="s">
        <v>10</v>
      </c>
      <c r="D518" s="2" t="s">
        <v>11</v>
      </c>
      <c r="E518" s="2" t="s">
        <v>17</v>
      </c>
      <c r="F518" s="2" t="s">
        <v>21</v>
      </c>
      <c r="G518" s="3" t="str">
        <f t="shared" si="1"/>
        <v>P3 - Backlog</v>
      </c>
      <c r="H518" s="4" t="s">
        <v>948</v>
      </c>
    </row>
    <row r="519" ht="15.75" customHeight="1">
      <c r="A519" s="2" t="s">
        <v>949</v>
      </c>
      <c r="B519" s="2" t="s">
        <v>9</v>
      </c>
      <c r="C519" s="2" t="s">
        <v>10</v>
      </c>
      <c r="D519" s="2" t="s">
        <v>11</v>
      </c>
      <c r="E519" s="2" t="s">
        <v>17</v>
      </c>
      <c r="F519" s="2" t="s">
        <v>21</v>
      </c>
      <c r="G519" s="3" t="str">
        <f t="shared" si="1"/>
        <v>P3 - Backlog</v>
      </c>
      <c r="H519" s="4" t="s">
        <v>905</v>
      </c>
    </row>
    <row r="520" ht="15.75" customHeight="1">
      <c r="A520" s="2" t="s">
        <v>950</v>
      </c>
      <c r="B520" s="2" t="s">
        <v>9</v>
      </c>
      <c r="C520" s="2" t="s">
        <v>10</v>
      </c>
      <c r="D520" s="2" t="s">
        <v>11</v>
      </c>
      <c r="E520" s="2" t="s">
        <v>17</v>
      </c>
      <c r="F520" s="2" t="s">
        <v>21</v>
      </c>
      <c r="G520" s="3" t="str">
        <f t="shared" si="1"/>
        <v>P3 - Backlog</v>
      </c>
      <c r="H520" s="4" t="s">
        <v>951</v>
      </c>
    </row>
    <row r="521" ht="15.75" customHeight="1">
      <c r="A521" s="2" t="s">
        <v>952</v>
      </c>
      <c r="B521" s="2" t="s">
        <v>45</v>
      </c>
      <c r="C521" s="2" t="s">
        <v>36</v>
      </c>
      <c r="D521" s="2" t="s">
        <v>37</v>
      </c>
      <c r="E521" s="2" t="s">
        <v>17</v>
      </c>
      <c r="F521" s="2" t="s">
        <v>21</v>
      </c>
      <c r="G521" s="3" t="str">
        <f t="shared" si="1"/>
        <v>P3 - Backlog</v>
      </c>
      <c r="H521" s="4" t="s">
        <v>953</v>
      </c>
    </row>
    <row r="522" ht="15.75" customHeight="1">
      <c r="A522" s="2" t="s">
        <v>954</v>
      </c>
      <c r="B522" s="2" t="s">
        <v>45</v>
      </c>
      <c r="C522" s="2" t="s">
        <v>36</v>
      </c>
      <c r="D522" s="2" t="s">
        <v>37</v>
      </c>
      <c r="E522" s="2" t="s">
        <v>17</v>
      </c>
      <c r="F522" s="2" t="s">
        <v>21</v>
      </c>
      <c r="G522" s="3" t="str">
        <f t="shared" si="1"/>
        <v>P3 - Backlog</v>
      </c>
      <c r="H522" s="4" t="s">
        <v>955</v>
      </c>
    </row>
    <row r="523" ht="15.75" customHeight="1">
      <c r="A523" s="2" t="s">
        <v>956</v>
      </c>
      <c r="B523" s="2" t="s">
        <v>45</v>
      </c>
      <c r="C523" s="2" t="s">
        <v>36</v>
      </c>
      <c r="D523" s="2" t="s">
        <v>37</v>
      </c>
      <c r="E523" s="2" t="s">
        <v>17</v>
      </c>
      <c r="F523" s="2" t="s">
        <v>21</v>
      </c>
      <c r="G523" s="3" t="str">
        <f t="shared" si="1"/>
        <v>P3 - Backlog</v>
      </c>
      <c r="H523" s="4" t="s">
        <v>957</v>
      </c>
    </row>
    <row r="524" ht="15.75" customHeight="1">
      <c r="A524" s="2" t="s">
        <v>958</v>
      </c>
      <c r="B524" s="2" t="s">
        <v>45</v>
      </c>
      <c r="C524" s="2" t="s">
        <v>36</v>
      </c>
      <c r="D524" s="2" t="s">
        <v>37</v>
      </c>
      <c r="E524" s="2" t="s">
        <v>17</v>
      </c>
      <c r="F524" s="2" t="s">
        <v>21</v>
      </c>
      <c r="G524" s="3" t="str">
        <f t="shared" si="1"/>
        <v>P3 - Backlog</v>
      </c>
      <c r="H524" s="4" t="s">
        <v>959</v>
      </c>
    </row>
    <row r="525" ht="15.75" customHeight="1">
      <c r="A525" s="2" t="s">
        <v>960</v>
      </c>
      <c r="B525" s="2" t="s">
        <v>45</v>
      </c>
      <c r="C525" s="2" t="s">
        <v>36</v>
      </c>
      <c r="D525" s="2" t="s">
        <v>37</v>
      </c>
      <c r="E525" s="2" t="s">
        <v>17</v>
      </c>
      <c r="F525" s="2" t="s">
        <v>21</v>
      </c>
      <c r="G525" s="3" t="str">
        <f t="shared" si="1"/>
        <v>P3 - Backlog</v>
      </c>
      <c r="H525" s="4" t="s">
        <v>961</v>
      </c>
    </row>
    <row r="526" ht="15.75" customHeight="1">
      <c r="A526" s="2" t="s">
        <v>962</v>
      </c>
      <c r="B526" s="2" t="s">
        <v>45</v>
      </c>
      <c r="C526" s="2" t="s">
        <v>36</v>
      </c>
      <c r="D526" s="2" t="s">
        <v>37</v>
      </c>
      <c r="E526" s="2" t="s">
        <v>17</v>
      </c>
      <c r="F526" s="2" t="s">
        <v>21</v>
      </c>
      <c r="G526" s="3" t="str">
        <f t="shared" si="1"/>
        <v>P3 - Backlog</v>
      </c>
      <c r="H526" s="4" t="s">
        <v>963</v>
      </c>
    </row>
    <row r="527" ht="15.75" customHeight="1">
      <c r="A527" s="2" t="s">
        <v>964</v>
      </c>
      <c r="B527" s="2" t="s">
        <v>965</v>
      </c>
      <c r="C527" s="2" t="s">
        <v>36</v>
      </c>
      <c r="D527" s="2" t="s">
        <v>37</v>
      </c>
      <c r="E527" s="2" t="s">
        <v>17</v>
      </c>
      <c r="F527" s="2" t="s">
        <v>21</v>
      </c>
      <c r="G527" s="3" t="str">
        <f t="shared" si="1"/>
        <v>P3 - Backlog</v>
      </c>
      <c r="H527" s="4" t="s">
        <v>966</v>
      </c>
    </row>
    <row r="528" ht="15.75" customHeight="1">
      <c r="A528" s="2" t="s">
        <v>964</v>
      </c>
      <c r="B528" s="2" t="s">
        <v>967</v>
      </c>
      <c r="C528" s="2" t="s">
        <v>36</v>
      </c>
      <c r="D528" s="2" t="s">
        <v>37</v>
      </c>
      <c r="E528" s="2" t="s">
        <v>17</v>
      </c>
      <c r="F528" s="2" t="s">
        <v>21</v>
      </c>
      <c r="G528" s="3" t="str">
        <f t="shared" si="1"/>
        <v>P3 - Backlog</v>
      </c>
      <c r="H528" s="4" t="s">
        <v>966</v>
      </c>
    </row>
    <row r="529" ht="15.75" customHeight="1">
      <c r="A529" s="2" t="s">
        <v>964</v>
      </c>
      <c r="B529" s="2" t="s">
        <v>968</v>
      </c>
      <c r="C529" s="2" t="s">
        <v>36</v>
      </c>
      <c r="D529" s="2" t="s">
        <v>37</v>
      </c>
      <c r="E529" s="2" t="s">
        <v>17</v>
      </c>
      <c r="F529" s="2" t="s">
        <v>21</v>
      </c>
      <c r="G529" s="3" t="str">
        <f t="shared" si="1"/>
        <v>P3 - Backlog</v>
      </c>
      <c r="H529" s="4" t="s">
        <v>966</v>
      </c>
    </row>
    <row r="530" ht="15.75" customHeight="1">
      <c r="A530" s="2" t="s">
        <v>964</v>
      </c>
      <c r="B530" s="2" t="s">
        <v>969</v>
      </c>
      <c r="C530" s="2" t="s">
        <v>36</v>
      </c>
      <c r="D530" s="2" t="s">
        <v>37</v>
      </c>
      <c r="E530" s="2" t="s">
        <v>17</v>
      </c>
      <c r="F530" s="2" t="s">
        <v>21</v>
      </c>
      <c r="G530" s="3" t="str">
        <f t="shared" si="1"/>
        <v>P3 - Backlog</v>
      </c>
      <c r="H530" s="4" t="s">
        <v>966</v>
      </c>
    </row>
    <row r="531" ht="15.75" customHeight="1">
      <c r="A531" s="2" t="s">
        <v>964</v>
      </c>
      <c r="B531" s="2" t="s">
        <v>970</v>
      </c>
      <c r="C531" s="2" t="s">
        <v>36</v>
      </c>
      <c r="D531" s="2" t="s">
        <v>37</v>
      </c>
      <c r="E531" s="2" t="s">
        <v>17</v>
      </c>
      <c r="F531" s="2" t="s">
        <v>21</v>
      </c>
      <c r="G531" s="3" t="str">
        <f t="shared" si="1"/>
        <v>P3 - Backlog</v>
      </c>
      <c r="H531" s="4" t="s">
        <v>966</v>
      </c>
    </row>
    <row r="532" ht="15.75" customHeight="1">
      <c r="A532" s="2" t="s">
        <v>964</v>
      </c>
      <c r="B532" s="2" t="s">
        <v>971</v>
      </c>
      <c r="C532" s="2" t="s">
        <v>36</v>
      </c>
      <c r="D532" s="2" t="s">
        <v>37</v>
      </c>
      <c r="E532" s="2" t="s">
        <v>17</v>
      </c>
      <c r="F532" s="2" t="s">
        <v>21</v>
      </c>
      <c r="G532" s="3" t="str">
        <f t="shared" si="1"/>
        <v>P3 - Backlog</v>
      </c>
      <c r="H532" s="4" t="s">
        <v>966</v>
      </c>
    </row>
    <row r="533" ht="15.75" customHeight="1">
      <c r="A533" s="2" t="s">
        <v>964</v>
      </c>
      <c r="B533" s="2" t="s">
        <v>972</v>
      </c>
      <c r="C533" s="2" t="s">
        <v>36</v>
      </c>
      <c r="D533" s="2" t="s">
        <v>37</v>
      </c>
      <c r="E533" s="2" t="s">
        <v>17</v>
      </c>
      <c r="F533" s="2" t="s">
        <v>21</v>
      </c>
      <c r="G533" s="3" t="str">
        <f t="shared" si="1"/>
        <v>P3 - Backlog</v>
      </c>
      <c r="H533" s="4" t="s">
        <v>966</v>
      </c>
    </row>
    <row r="534" ht="15.75" customHeight="1">
      <c r="A534" s="2" t="s">
        <v>964</v>
      </c>
      <c r="B534" s="2" t="s">
        <v>973</v>
      </c>
      <c r="C534" s="2" t="s">
        <v>36</v>
      </c>
      <c r="D534" s="2" t="s">
        <v>37</v>
      </c>
      <c r="E534" s="2" t="s">
        <v>17</v>
      </c>
      <c r="F534" s="2" t="s">
        <v>21</v>
      </c>
      <c r="G534" s="3" t="str">
        <f t="shared" si="1"/>
        <v>P3 - Backlog</v>
      </c>
      <c r="H534" s="4" t="s">
        <v>966</v>
      </c>
    </row>
    <row r="535" ht="15.75" customHeight="1">
      <c r="A535" s="2" t="s">
        <v>974</v>
      </c>
      <c r="B535" s="2" t="s">
        <v>45</v>
      </c>
      <c r="C535" s="2" t="s">
        <v>36</v>
      </c>
      <c r="D535" s="2" t="s">
        <v>37</v>
      </c>
      <c r="E535" s="2" t="s">
        <v>17</v>
      </c>
      <c r="F535" s="2" t="s">
        <v>21</v>
      </c>
      <c r="G535" s="3" t="str">
        <f t="shared" si="1"/>
        <v>P3 - Backlog</v>
      </c>
      <c r="H535" s="4" t="s">
        <v>975</v>
      </c>
    </row>
    <row r="536" ht="15.75" customHeight="1">
      <c r="A536" s="2" t="s">
        <v>976</v>
      </c>
      <c r="B536" s="2" t="s">
        <v>45</v>
      </c>
      <c r="C536" s="2" t="s">
        <v>36</v>
      </c>
      <c r="D536" s="2" t="s">
        <v>37</v>
      </c>
      <c r="E536" s="2" t="s">
        <v>17</v>
      </c>
      <c r="F536" s="2" t="s">
        <v>21</v>
      </c>
      <c r="G536" s="3" t="str">
        <f t="shared" si="1"/>
        <v>P3 - Backlog</v>
      </c>
      <c r="H536" s="4" t="s">
        <v>977</v>
      </c>
    </row>
    <row r="537" ht="15.75" customHeight="1">
      <c r="A537" s="2" t="s">
        <v>978</v>
      </c>
      <c r="B537" s="2" t="s">
        <v>45</v>
      </c>
      <c r="C537" s="2" t="s">
        <v>36</v>
      </c>
      <c r="D537" s="2" t="s">
        <v>37</v>
      </c>
      <c r="E537" s="2" t="s">
        <v>17</v>
      </c>
      <c r="F537" s="2" t="s">
        <v>21</v>
      </c>
      <c r="G537" s="3" t="str">
        <f t="shared" si="1"/>
        <v>P3 - Backlog</v>
      </c>
      <c r="H537" s="4" t="s">
        <v>979</v>
      </c>
    </row>
    <row r="538" ht="15.75" customHeight="1">
      <c r="A538" s="2" t="s">
        <v>980</v>
      </c>
      <c r="B538" s="2" t="s">
        <v>45</v>
      </c>
      <c r="C538" s="2" t="s">
        <v>36</v>
      </c>
      <c r="D538" s="2" t="s">
        <v>37</v>
      </c>
      <c r="E538" s="2" t="s">
        <v>17</v>
      </c>
      <c r="F538" s="2" t="s">
        <v>21</v>
      </c>
      <c r="G538" s="3" t="str">
        <f t="shared" si="1"/>
        <v>P3 - Backlog</v>
      </c>
      <c r="H538" s="4" t="s">
        <v>981</v>
      </c>
    </row>
    <row r="539" ht="15.75" customHeight="1">
      <c r="A539" s="2" t="s">
        <v>982</v>
      </c>
      <c r="B539" s="2" t="s">
        <v>45</v>
      </c>
      <c r="C539" s="2" t="s">
        <v>36</v>
      </c>
      <c r="D539" s="2" t="s">
        <v>37</v>
      </c>
      <c r="E539" s="2" t="s">
        <v>17</v>
      </c>
      <c r="F539" s="2" t="s">
        <v>21</v>
      </c>
      <c r="G539" s="3" t="str">
        <f t="shared" si="1"/>
        <v>P3 - Backlog</v>
      </c>
      <c r="H539" s="4" t="s">
        <v>983</v>
      </c>
    </row>
    <row r="540" ht="15.75" customHeight="1">
      <c r="A540" s="2" t="s">
        <v>984</v>
      </c>
      <c r="B540" s="2" t="s">
        <v>45</v>
      </c>
      <c r="C540" s="2" t="s">
        <v>36</v>
      </c>
      <c r="D540" s="2" t="s">
        <v>37</v>
      </c>
      <c r="E540" s="2" t="s">
        <v>17</v>
      </c>
      <c r="F540" s="2" t="s">
        <v>21</v>
      </c>
      <c r="G540" s="3" t="str">
        <f t="shared" si="1"/>
        <v>P3 - Backlog</v>
      </c>
      <c r="H540" s="4" t="s">
        <v>985</v>
      </c>
    </row>
    <row r="541" ht="15.75" customHeight="1">
      <c r="A541" s="2" t="s">
        <v>986</v>
      </c>
      <c r="B541" s="2" t="s">
        <v>45</v>
      </c>
      <c r="C541" s="2" t="s">
        <v>36</v>
      </c>
      <c r="D541" s="2" t="s">
        <v>37</v>
      </c>
      <c r="E541" s="2" t="s">
        <v>17</v>
      </c>
      <c r="F541" s="2" t="s">
        <v>21</v>
      </c>
      <c r="G541" s="3" t="str">
        <f t="shared" si="1"/>
        <v>P3 - Backlog</v>
      </c>
      <c r="H541" s="4" t="s">
        <v>987</v>
      </c>
    </row>
    <row r="542" ht="15.75" customHeight="1">
      <c r="A542" s="2" t="s">
        <v>988</v>
      </c>
      <c r="B542" s="2" t="s">
        <v>45</v>
      </c>
      <c r="C542" s="2" t="s">
        <v>36</v>
      </c>
      <c r="D542" s="2" t="s">
        <v>37</v>
      </c>
      <c r="E542" s="2" t="s">
        <v>17</v>
      </c>
      <c r="F542" s="2" t="s">
        <v>21</v>
      </c>
      <c r="G542" s="3" t="str">
        <f t="shared" si="1"/>
        <v>P3 - Backlog</v>
      </c>
      <c r="H542" s="4" t="s">
        <v>989</v>
      </c>
    </row>
    <row r="543" ht="15.75" customHeight="1">
      <c r="A543" s="2" t="s">
        <v>990</v>
      </c>
      <c r="B543" s="2" t="s">
        <v>45</v>
      </c>
      <c r="C543" s="2" t="s">
        <v>36</v>
      </c>
      <c r="D543" s="2" t="s">
        <v>37</v>
      </c>
      <c r="E543" s="2" t="s">
        <v>17</v>
      </c>
      <c r="F543" s="2" t="s">
        <v>21</v>
      </c>
      <c r="G543" s="3" t="str">
        <f t="shared" si="1"/>
        <v>P3 - Backlog</v>
      </c>
      <c r="H543" s="4" t="s">
        <v>991</v>
      </c>
    </row>
    <row r="544" ht="15.75" customHeight="1">
      <c r="A544" s="2" t="s">
        <v>992</v>
      </c>
      <c r="B544" s="2" t="s">
        <v>45</v>
      </c>
      <c r="C544" s="2" t="s">
        <v>36</v>
      </c>
      <c r="D544" s="2" t="s">
        <v>37</v>
      </c>
      <c r="E544" s="2" t="s">
        <v>17</v>
      </c>
      <c r="F544" s="2" t="s">
        <v>21</v>
      </c>
      <c r="G544" s="3" t="str">
        <f t="shared" si="1"/>
        <v>P3 - Backlog</v>
      </c>
      <c r="H544" s="4" t="s">
        <v>993</v>
      </c>
    </row>
    <row r="545" ht="15.75" customHeight="1">
      <c r="A545" s="2" t="s">
        <v>994</v>
      </c>
      <c r="B545" s="2" t="s">
        <v>45</v>
      </c>
      <c r="C545" s="2" t="s">
        <v>36</v>
      </c>
      <c r="D545" s="2" t="s">
        <v>37</v>
      </c>
      <c r="E545" s="2" t="s">
        <v>17</v>
      </c>
      <c r="F545" s="2" t="s">
        <v>21</v>
      </c>
      <c r="G545" s="3" t="str">
        <f t="shared" si="1"/>
        <v>P3 - Backlog</v>
      </c>
      <c r="H545" s="4" t="s">
        <v>995</v>
      </c>
    </row>
    <row r="546" ht="15.75" customHeight="1">
      <c r="A546" s="2" t="s">
        <v>996</v>
      </c>
      <c r="B546" s="2" t="s">
        <v>997</v>
      </c>
      <c r="C546" s="2" t="s">
        <v>36</v>
      </c>
      <c r="D546" s="2" t="s">
        <v>37</v>
      </c>
      <c r="E546" s="2" t="s">
        <v>17</v>
      </c>
      <c r="F546" s="2" t="s">
        <v>21</v>
      </c>
      <c r="G546" s="3" t="str">
        <f t="shared" si="1"/>
        <v>P3 - Backlog</v>
      </c>
      <c r="H546" s="4" t="s">
        <v>998</v>
      </c>
    </row>
    <row r="547" ht="15.75" customHeight="1">
      <c r="A547" s="2" t="s">
        <v>999</v>
      </c>
      <c r="B547" s="2" t="s">
        <v>45</v>
      </c>
      <c r="C547" s="2" t="s">
        <v>36</v>
      </c>
      <c r="D547" s="2" t="s">
        <v>37</v>
      </c>
      <c r="E547" s="2" t="s">
        <v>17</v>
      </c>
      <c r="F547" s="2" t="s">
        <v>21</v>
      </c>
      <c r="G547" s="3" t="str">
        <f t="shared" si="1"/>
        <v>P3 - Backlog</v>
      </c>
      <c r="H547" s="4" t="s">
        <v>1000</v>
      </c>
    </row>
    <row r="548" ht="15.75" customHeight="1">
      <c r="A548" s="2" t="s">
        <v>1001</v>
      </c>
      <c r="B548" s="2" t="s">
        <v>431</v>
      </c>
      <c r="C548" s="2" t="s">
        <v>36</v>
      </c>
      <c r="D548" s="2" t="s">
        <v>37</v>
      </c>
      <c r="E548" s="2" t="s">
        <v>17</v>
      </c>
      <c r="F548" s="2" t="s">
        <v>21</v>
      </c>
      <c r="G548" s="3" t="str">
        <f t="shared" si="1"/>
        <v>P3 - Backlog</v>
      </c>
      <c r="H548" s="4" t="s">
        <v>1002</v>
      </c>
    </row>
    <row r="549" ht="15.75" customHeight="1">
      <c r="A549" s="2" t="s">
        <v>1003</v>
      </c>
      <c r="B549" s="2" t="s">
        <v>45</v>
      </c>
      <c r="C549" s="2" t="s">
        <v>36</v>
      </c>
      <c r="D549" s="2" t="s">
        <v>37</v>
      </c>
      <c r="E549" s="2" t="s">
        <v>17</v>
      </c>
      <c r="F549" s="2" t="s">
        <v>21</v>
      </c>
      <c r="G549" s="3" t="str">
        <f t="shared" si="1"/>
        <v>P3 - Backlog</v>
      </c>
      <c r="H549" s="4" t="s">
        <v>1004</v>
      </c>
    </row>
    <row r="550" ht="15.75" customHeight="1">
      <c r="A550" s="2" t="s">
        <v>1005</v>
      </c>
      <c r="B550" s="2" t="s">
        <v>45</v>
      </c>
      <c r="C550" s="2" t="s">
        <v>36</v>
      </c>
      <c r="D550" s="2" t="s">
        <v>37</v>
      </c>
      <c r="E550" s="2" t="s">
        <v>17</v>
      </c>
      <c r="F550" s="2" t="s">
        <v>21</v>
      </c>
      <c r="G550" s="3" t="str">
        <f t="shared" si="1"/>
        <v>P3 - Backlog</v>
      </c>
      <c r="H550" s="4" t="s">
        <v>1006</v>
      </c>
    </row>
    <row r="551" ht="15.75" customHeight="1">
      <c r="A551" s="2" t="s">
        <v>1007</v>
      </c>
      <c r="B551" s="2" t="s">
        <v>45</v>
      </c>
      <c r="C551" s="2" t="s">
        <v>36</v>
      </c>
      <c r="D551" s="2" t="s">
        <v>37</v>
      </c>
      <c r="E551" s="2" t="s">
        <v>17</v>
      </c>
      <c r="F551" s="2" t="s">
        <v>21</v>
      </c>
      <c r="G551" s="3" t="str">
        <f t="shared" si="1"/>
        <v>P3 - Backlog</v>
      </c>
      <c r="H551" s="4" t="s">
        <v>1008</v>
      </c>
    </row>
    <row r="552" ht="15.75" customHeight="1">
      <c r="A552" s="2" t="s">
        <v>1009</v>
      </c>
      <c r="B552" s="2" t="s">
        <v>45</v>
      </c>
      <c r="C552" s="2" t="s">
        <v>36</v>
      </c>
      <c r="D552" s="2" t="s">
        <v>37</v>
      </c>
      <c r="E552" s="2" t="s">
        <v>17</v>
      </c>
      <c r="F552" s="2" t="s">
        <v>21</v>
      </c>
      <c r="G552" s="3" t="str">
        <f t="shared" si="1"/>
        <v>P3 - Backlog</v>
      </c>
      <c r="H552" s="4" t="s">
        <v>1010</v>
      </c>
    </row>
    <row r="553" ht="15.75" customHeight="1">
      <c r="A553" s="2" t="s">
        <v>1011</v>
      </c>
      <c r="B553" s="2" t="s">
        <v>45</v>
      </c>
      <c r="C553" s="2" t="s">
        <v>36</v>
      </c>
      <c r="D553" s="2" t="s">
        <v>37</v>
      </c>
      <c r="E553" s="2" t="s">
        <v>17</v>
      </c>
      <c r="F553" s="2" t="s">
        <v>21</v>
      </c>
      <c r="G553" s="3" t="str">
        <f t="shared" si="1"/>
        <v>P3 - Backlog</v>
      </c>
      <c r="H553" s="4" t="s">
        <v>1012</v>
      </c>
    </row>
    <row r="554" ht="15.75" customHeight="1">
      <c r="A554" s="2" t="s">
        <v>1013</v>
      </c>
      <c r="B554" s="2" t="s">
        <v>45</v>
      </c>
      <c r="C554" s="2" t="s">
        <v>36</v>
      </c>
      <c r="D554" s="2" t="s">
        <v>37</v>
      </c>
      <c r="E554" s="2" t="s">
        <v>17</v>
      </c>
      <c r="F554" s="2" t="s">
        <v>21</v>
      </c>
      <c r="G554" s="3" t="str">
        <f t="shared" si="1"/>
        <v>P3 - Backlog</v>
      </c>
      <c r="H554" s="4" t="s">
        <v>1014</v>
      </c>
    </row>
    <row r="555" ht="15.75" customHeight="1">
      <c r="A555" s="2" t="s">
        <v>1015</v>
      </c>
      <c r="B555" s="2" t="s">
        <v>45</v>
      </c>
      <c r="C555" s="2" t="s">
        <v>36</v>
      </c>
      <c r="D555" s="2" t="s">
        <v>37</v>
      </c>
      <c r="E555" s="2" t="s">
        <v>17</v>
      </c>
      <c r="F555" s="2" t="s">
        <v>21</v>
      </c>
      <c r="G555" s="3" t="str">
        <f t="shared" si="1"/>
        <v>P3 - Backlog</v>
      </c>
      <c r="H555" s="4" t="s">
        <v>1016</v>
      </c>
    </row>
    <row r="556" ht="15.75" customHeight="1">
      <c r="A556" s="2" t="s">
        <v>1017</v>
      </c>
      <c r="B556" s="2" t="s">
        <v>45</v>
      </c>
      <c r="C556" s="2" t="s">
        <v>36</v>
      </c>
      <c r="D556" s="2" t="s">
        <v>37</v>
      </c>
      <c r="E556" s="2" t="s">
        <v>17</v>
      </c>
      <c r="F556" s="2" t="s">
        <v>21</v>
      </c>
      <c r="G556" s="3" t="str">
        <f t="shared" si="1"/>
        <v>P3 - Backlog</v>
      </c>
      <c r="H556" s="4" t="s">
        <v>1018</v>
      </c>
    </row>
    <row r="557" ht="15.75" customHeight="1">
      <c r="A557" s="2" t="s">
        <v>1019</v>
      </c>
      <c r="B557" s="2" t="s">
        <v>45</v>
      </c>
      <c r="C557" s="2" t="s">
        <v>36</v>
      </c>
      <c r="D557" s="2" t="s">
        <v>37</v>
      </c>
      <c r="E557" s="2" t="s">
        <v>17</v>
      </c>
      <c r="F557" s="2" t="s">
        <v>21</v>
      </c>
      <c r="G557" s="3" t="str">
        <f t="shared" si="1"/>
        <v>P3 - Backlog</v>
      </c>
      <c r="H557" s="4" t="s">
        <v>1018</v>
      </c>
    </row>
    <row r="558" ht="15.75" customHeight="1">
      <c r="A558" s="2" t="s">
        <v>1020</v>
      </c>
      <c r="B558" s="2" t="s">
        <v>45</v>
      </c>
      <c r="C558" s="2" t="s">
        <v>36</v>
      </c>
      <c r="D558" s="2" t="s">
        <v>37</v>
      </c>
      <c r="E558" s="2" t="s">
        <v>17</v>
      </c>
      <c r="F558" s="2" t="s">
        <v>21</v>
      </c>
      <c r="G558" s="3" t="str">
        <f t="shared" si="1"/>
        <v>P3 - Backlog</v>
      </c>
      <c r="H558" s="4" t="s">
        <v>1021</v>
      </c>
    </row>
    <row r="559" ht="15.75" customHeight="1">
      <c r="A559" s="2" t="s">
        <v>1022</v>
      </c>
      <c r="B559" s="2" t="s">
        <v>45</v>
      </c>
      <c r="C559" s="2" t="s">
        <v>36</v>
      </c>
      <c r="D559" s="2" t="s">
        <v>37</v>
      </c>
      <c r="E559" s="2" t="s">
        <v>17</v>
      </c>
      <c r="F559" s="2" t="s">
        <v>21</v>
      </c>
      <c r="G559" s="3" t="str">
        <f t="shared" si="1"/>
        <v>P3 - Backlog</v>
      </c>
      <c r="H559" s="4" t="s">
        <v>1023</v>
      </c>
    </row>
    <row r="560" ht="15.75" customHeight="1">
      <c r="A560" s="2" t="s">
        <v>1024</v>
      </c>
      <c r="B560" s="2" t="s">
        <v>45</v>
      </c>
      <c r="C560" s="2" t="s">
        <v>36</v>
      </c>
      <c r="D560" s="2" t="s">
        <v>37</v>
      </c>
      <c r="E560" s="2" t="s">
        <v>17</v>
      </c>
      <c r="F560" s="2" t="s">
        <v>21</v>
      </c>
      <c r="G560" s="3" t="str">
        <f t="shared" si="1"/>
        <v>P3 - Backlog</v>
      </c>
      <c r="H560" s="4" t="s">
        <v>1025</v>
      </c>
    </row>
    <row r="561" ht="15.75" customHeight="1">
      <c r="A561" s="2" t="s">
        <v>1026</v>
      </c>
      <c r="B561" s="2" t="s">
        <v>45</v>
      </c>
      <c r="C561" s="2" t="s">
        <v>36</v>
      </c>
      <c r="D561" s="2" t="s">
        <v>37</v>
      </c>
      <c r="E561" s="2" t="s">
        <v>17</v>
      </c>
      <c r="F561" s="2" t="s">
        <v>21</v>
      </c>
      <c r="G561" s="3" t="str">
        <f t="shared" si="1"/>
        <v>P3 - Backlog</v>
      </c>
      <c r="H561" s="4" t="s">
        <v>1027</v>
      </c>
    </row>
    <row r="562" ht="15.75" customHeight="1">
      <c r="A562" s="2" t="s">
        <v>1028</v>
      </c>
      <c r="B562" s="2" t="s">
        <v>45</v>
      </c>
      <c r="C562" s="2" t="s">
        <v>36</v>
      </c>
      <c r="D562" s="2" t="s">
        <v>37</v>
      </c>
      <c r="E562" s="2" t="s">
        <v>17</v>
      </c>
      <c r="F562" s="2" t="s">
        <v>21</v>
      </c>
      <c r="G562" s="3" t="str">
        <f t="shared" si="1"/>
        <v>P3 - Backlog</v>
      </c>
      <c r="H562" s="4" t="s">
        <v>1029</v>
      </c>
    </row>
    <row r="563" ht="15.75" customHeight="1">
      <c r="A563" s="2" t="s">
        <v>1030</v>
      </c>
      <c r="B563" s="2" t="s">
        <v>45</v>
      </c>
      <c r="C563" s="2" t="s">
        <v>36</v>
      </c>
      <c r="D563" s="2" t="s">
        <v>37</v>
      </c>
      <c r="E563" s="2" t="s">
        <v>17</v>
      </c>
      <c r="F563" s="2" t="s">
        <v>21</v>
      </c>
      <c r="G563" s="3" t="str">
        <f t="shared" si="1"/>
        <v>P3 - Backlog</v>
      </c>
      <c r="H563" s="4" t="s">
        <v>1031</v>
      </c>
    </row>
    <row r="564" ht="15.75" customHeight="1">
      <c r="A564" s="2" t="s">
        <v>1032</v>
      </c>
      <c r="B564" s="2" t="s">
        <v>1033</v>
      </c>
      <c r="C564" s="2" t="s">
        <v>36</v>
      </c>
      <c r="D564" s="2" t="s">
        <v>37</v>
      </c>
      <c r="E564" s="2" t="s">
        <v>17</v>
      </c>
      <c r="F564" s="2" t="s">
        <v>21</v>
      </c>
      <c r="G564" s="3" t="str">
        <f t="shared" si="1"/>
        <v>P3 - Backlog</v>
      </c>
      <c r="H564" s="4" t="s">
        <v>1034</v>
      </c>
    </row>
    <row r="565" ht="15.75" customHeight="1">
      <c r="A565" s="2" t="s">
        <v>1032</v>
      </c>
      <c r="B565" s="2" t="s">
        <v>1035</v>
      </c>
      <c r="C565" s="2" t="s">
        <v>36</v>
      </c>
      <c r="D565" s="2" t="s">
        <v>37</v>
      </c>
      <c r="E565" s="2" t="s">
        <v>17</v>
      </c>
      <c r="F565" s="2" t="s">
        <v>21</v>
      </c>
      <c r="G565" s="3" t="str">
        <f t="shared" si="1"/>
        <v>P3 - Backlog</v>
      </c>
      <c r="H565" s="4" t="s">
        <v>1034</v>
      </c>
    </row>
    <row r="566" ht="15.75" customHeight="1">
      <c r="A566" s="2" t="s">
        <v>1036</v>
      </c>
      <c r="B566" s="2" t="s">
        <v>45</v>
      </c>
      <c r="C566" s="2" t="s">
        <v>36</v>
      </c>
      <c r="D566" s="2" t="s">
        <v>37</v>
      </c>
      <c r="E566" s="2" t="s">
        <v>17</v>
      </c>
      <c r="F566" s="2" t="s">
        <v>21</v>
      </c>
      <c r="G566" s="3" t="str">
        <f t="shared" si="1"/>
        <v>P3 - Backlog</v>
      </c>
      <c r="H566" s="4" t="s">
        <v>1037</v>
      </c>
    </row>
    <row r="567" ht="15.75" customHeight="1">
      <c r="A567" s="2" t="s">
        <v>1038</v>
      </c>
      <c r="B567" s="2" t="s">
        <v>45</v>
      </c>
      <c r="C567" s="2" t="s">
        <v>36</v>
      </c>
      <c r="D567" s="2" t="s">
        <v>37</v>
      </c>
      <c r="E567" s="2" t="s">
        <v>17</v>
      </c>
      <c r="F567" s="2" t="s">
        <v>21</v>
      </c>
      <c r="G567" s="3" t="str">
        <f t="shared" si="1"/>
        <v>P3 - Backlog</v>
      </c>
      <c r="H567" s="4" t="s">
        <v>1039</v>
      </c>
    </row>
    <row r="568" ht="15.75" customHeight="1">
      <c r="A568" s="2" t="s">
        <v>1040</v>
      </c>
      <c r="B568" s="2" t="s">
        <v>45</v>
      </c>
      <c r="C568" s="2" t="s">
        <v>36</v>
      </c>
      <c r="D568" s="2" t="s">
        <v>37</v>
      </c>
      <c r="E568" s="2" t="s">
        <v>17</v>
      </c>
      <c r="F568" s="2" t="s">
        <v>21</v>
      </c>
      <c r="G568" s="3" t="str">
        <f t="shared" si="1"/>
        <v>P3 - Backlog</v>
      </c>
      <c r="H568" s="4" t="s">
        <v>1041</v>
      </c>
    </row>
    <row r="569" ht="15.75" customHeight="1">
      <c r="A569" s="2" t="s">
        <v>1042</v>
      </c>
      <c r="B569" s="2" t="s">
        <v>45</v>
      </c>
      <c r="C569" s="2" t="s">
        <v>36</v>
      </c>
      <c r="D569" s="2" t="s">
        <v>37</v>
      </c>
      <c r="E569" s="2" t="s">
        <v>17</v>
      </c>
      <c r="F569" s="2" t="s">
        <v>21</v>
      </c>
      <c r="G569" s="3" t="str">
        <f t="shared" si="1"/>
        <v>P3 - Backlog</v>
      </c>
      <c r="H569" s="4" t="s">
        <v>1043</v>
      </c>
    </row>
    <row r="570" ht="15.75" customHeight="1">
      <c r="A570" s="2" t="s">
        <v>1044</v>
      </c>
      <c r="B570" s="2" t="s">
        <v>1045</v>
      </c>
      <c r="C570" s="2" t="s">
        <v>36</v>
      </c>
      <c r="D570" s="2" t="s">
        <v>37</v>
      </c>
      <c r="E570" s="2" t="s">
        <v>17</v>
      </c>
      <c r="F570" s="2" t="s">
        <v>21</v>
      </c>
      <c r="G570" s="3" t="str">
        <f t="shared" si="1"/>
        <v>P3 - Backlog</v>
      </c>
      <c r="H570" s="4" t="s">
        <v>1046</v>
      </c>
    </row>
    <row r="571" ht="15.75" customHeight="1">
      <c r="A571" s="2" t="s">
        <v>1047</v>
      </c>
      <c r="B571" s="2" t="s">
        <v>45</v>
      </c>
      <c r="C571" s="2" t="s">
        <v>36</v>
      </c>
      <c r="D571" s="2" t="s">
        <v>37</v>
      </c>
      <c r="E571" s="2" t="s">
        <v>17</v>
      </c>
      <c r="F571" s="2" t="s">
        <v>21</v>
      </c>
      <c r="G571" s="3" t="str">
        <f t="shared" si="1"/>
        <v>P3 - Backlog</v>
      </c>
      <c r="H571" s="4" t="s">
        <v>1048</v>
      </c>
    </row>
    <row r="572" ht="15.75" customHeight="1">
      <c r="A572" s="2" t="s">
        <v>1049</v>
      </c>
      <c r="B572" s="2" t="s">
        <v>1050</v>
      </c>
      <c r="C572" s="2" t="s">
        <v>36</v>
      </c>
      <c r="D572" s="2" t="s">
        <v>37</v>
      </c>
      <c r="E572" s="2" t="s">
        <v>17</v>
      </c>
      <c r="F572" s="2" t="s">
        <v>21</v>
      </c>
      <c r="G572" s="3" t="str">
        <f t="shared" si="1"/>
        <v>P3 - Backlog</v>
      </c>
      <c r="H572" s="4" t="s">
        <v>1051</v>
      </c>
    </row>
    <row r="573" ht="15.75" customHeight="1">
      <c r="A573" s="2" t="s">
        <v>1052</v>
      </c>
      <c r="B573" s="2" t="s">
        <v>45</v>
      </c>
      <c r="C573" s="2" t="s">
        <v>36</v>
      </c>
      <c r="D573" s="2" t="s">
        <v>37</v>
      </c>
      <c r="E573" s="2" t="s">
        <v>17</v>
      </c>
      <c r="F573" s="2" t="s">
        <v>21</v>
      </c>
      <c r="G573" s="3" t="str">
        <f t="shared" si="1"/>
        <v>P3 - Backlog</v>
      </c>
      <c r="H573" s="4" t="s">
        <v>1053</v>
      </c>
    </row>
    <row r="574" ht="15.75" customHeight="1">
      <c r="A574" s="2" t="s">
        <v>1054</v>
      </c>
      <c r="B574" s="2" t="s">
        <v>45</v>
      </c>
      <c r="C574" s="2" t="s">
        <v>36</v>
      </c>
      <c r="D574" s="2" t="s">
        <v>37</v>
      </c>
      <c r="E574" s="2" t="s">
        <v>17</v>
      </c>
      <c r="F574" s="2" t="s">
        <v>21</v>
      </c>
      <c r="G574" s="3" t="str">
        <f t="shared" si="1"/>
        <v>P3 - Backlog</v>
      </c>
      <c r="H574" s="4" t="s">
        <v>1055</v>
      </c>
    </row>
    <row r="575" ht="15.75" customHeight="1">
      <c r="A575" s="2" t="s">
        <v>1056</v>
      </c>
      <c r="B575" s="2" t="s">
        <v>45</v>
      </c>
      <c r="C575" s="2" t="s">
        <v>36</v>
      </c>
      <c r="D575" s="2" t="s">
        <v>37</v>
      </c>
      <c r="E575" s="2" t="s">
        <v>17</v>
      </c>
      <c r="F575" s="2" t="s">
        <v>21</v>
      </c>
      <c r="G575" s="3" t="str">
        <f t="shared" si="1"/>
        <v>P3 - Backlog</v>
      </c>
      <c r="H575" s="4" t="s">
        <v>1057</v>
      </c>
    </row>
    <row r="576" ht="15.75" customHeight="1">
      <c r="A576" s="2" t="s">
        <v>1058</v>
      </c>
      <c r="B576" s="2" t="s">
        <v>45</v>
      </c>
      <c r="C576" s="2" t="s">
        <v>36</v>
      </c>
      <c r="D576" s="2" t="s">
        <v>37</v>
      </c>
      <c r="E576" s="2" t="s">
        <v>17</v>
      </c>
      <c r="F576" s="2" t="s">
        <v>21</v>
      </c>
      <c r="G576" s="3" t="str">
        <f t="shared" si="1"/>
        <v>P3 - Backlog</v>
      </c>
      <c r="H576" s="4" t="s">
        <v>1059</v>
      </c>
    </row>
    <row r="577" ht="15.75" customHeight="1">
      <c r="A577" s="2" t="s">
        <v>1060</v>
      </c>
      <c r="B577" s="2" t="s">
        <v>45</v>
      </c>
      <c r="C577" s="2" t="s">
        <v>36</v>
      </c>
      <c r="D577" s="2" t="s">
        <v>37</v>
      </c>
      <c r="E577" s="2" t="s">
        <v>17</v>
      </c>
      <c r="F577" s="2" t="s">
        <v>21</v>
      </c>
      <c r="G577" s="3" t="str">
        <f t="shared" si="1"/>
        <v>P3 - Backlog</v>
      </c>
      <c r="H577" s="4" t="s">
        <v>1061</v>
      </c>
    </row>
    <row r="578" ht="15.75" customHeight="1">
      <c r="A578" s="2" t="s">
        <v>1062</v>
      </c>
      <c r="B578" s="2" t="s">
        <v>45</v>
      </c>
      <c r="C578" s="2" t="s">
        <v>36</v>
      </c>
      <c r="D578" s="2" t="s">
        <v>37</v>
      </c>
      <c r="E578" s="2" t="s">
        <v>17</v>
      </c>
      <c r="F578" s="2" t="s">
        <v>21</v>
      </c>
      <c r="G578" s="3" t="str">
        <f t="shared" si="1"/>
        <v>P3 - Backlog</v>
      </c>
      <c r="H578" s="4" t="s">
        <v>1063</v>
      </c>
    </row>
    <row r="579" ht="15.75" customHeight="1">
      <c r="A579" s="2" t="s">
        <v>1064</v>
      </c>
      <c r="B579" s="2" t="s">
        <v>1065</v>
      </c>
      <c r="C579" s="2" t="s">
        <v>36</v>
      </c>
      <c r="D579" s="2" t="s">
        <v>37</v>
      </c>
      <c r="E579" s="2" t="s">
        <v>17</v>
      </c>
      <c r="F579" s="2" t="s">
        <v>21</v>
      </c>
      <c r="G579" s="3" t="str">
        <f t="shared" si="1"/>
        <v>P3 - Backlog</v>
      </c>
      <c r="H579" s="4" t="s">
        <v>1066</v>
      </c>
    </row>
    <row r="580" ht="15.75" customHeight="1">
      <c r="A580" s="2" t="s">
        <v>1067</v>
      </c>
      <c r="B580" s="2" t="s">
        <v>45</v>
      </c>
      <c r="C580" s="2" t="s">
        <v>36</v>
      </c>
      <c r="D580" s="2" t="s">
        <v>37</v>
      </c>
      <c r="E580" s="2" t="s">
        <v>17</v>
      </c>
      <c r="F580" s="2" t="s">
        <v>21</v>
      </c>
      <c r="G580" s="3" t="str">
        <f t="shared" si="1"/>
        <v>P3 - Backlog</v>
      </c>
      <c r="H580" s="4" t="s">
        <v>1068</v>
      </c>
    </row>
    <row r="581" ht="15.75" customHeight="1">
      <c r="A581" s="2" t="s">
        <v>1069</v>
      </c>
      <c r="B581" s="2" t="s">
        <v>1070</v>
      </c>
      <c r="C581" s="2" t="s">
        <v>36</v>
      </c>
      <c r="D581" s="2" t="s">
        <v>37</v>
      </c>
      <c r="E581" s="2" t="s">
        <v>17</v>
      </c>
      <c r="F581" s="2" t="s">
        <v>21</v>
      </c>
      <c r="G581" s="3" t="str">
        <f t="shared" si="1"/>
        <v>P3 - Backlog</v>
      </c>
      <c r="H581" s="4" t="s">
        <v>1071</v>
      </c>
    </row>
    <row r="582" ht="15.75" customHeight="1">
      <c r="A582" s="2" t="s">
        <v>1069</v>
      </c>
      <c r="B582" s="2" t="s">
        <v>1072</v>
      </c>
      <c r="C582" s="2" t="s">
        <v>36</v>
      </c>
      <c r="D582" s="2" t="s">
        <v>37</v>
      </c>
      <c r="E582" s="2" t="s">
        <v>17</v>
      </c>
      <c r="F582" s="2" t="s">
        <v>21</v>
      </c>
      <c r="G582" s="3" t="str">
        <f t="shared" si="1"/>
        <v>P3 - Backlog</v>
      </c>
      <c r="H582" s="4" t="s">
        <v>1071</v>
      </c>
    </row>
    <row r="583" ht="15.75" customHeight="1">
      <c r="A583" s="2" t="s">
        <v>1069</v>
      </c>
      <c r="B583" s="2" t="s">
        <v>1073</v>
      </c>
      <c r="C583" s="2" t="s">
        <v>36</v>
      </c>
      <c r="D583" s="2" t="s">
        <v>37</v>
      </c>
      <c r="E583" s="2" t="s">
        <v>17</v>
      </c>
      <c r="F583" s="2" t="s">
        <v>21</v>
      </c>
      <c r="G583" s="3" t="str">
        <f t="shared" si="1"/>
        <v>P3 - Backlog</v>
      </c>
      <c r="H583" s="4" t="s">
        <v>1071</v>
      </c>
    </row>
    <row r="584" ht="15.75" customHeight="1">
      <c r="A584" s="2" t="s">
        <v>1069</v>
      </c>
      <c r="B584" s="2" t="s">
        <v>1074</v>
      </c>
      <c r="C584" s="2" t="s">
        <v>36</v>
      </c>
      <c r="D584" s="2" t="s">
        <v>37</v>
      </c>
      <c r="E584" s="2" t="s">
        <v>17</v>
      </c>
      <c r="F584" s="2" t="s">
        <v>21</v>
      </c>
      <c r="G584" s="3" t="str">
        <f t="shared" si="1"/>
        <v>P3 - Backlog</v>
      </c>
      <c r="H584" s="4" t="s">
        <v>1071</v>
      </c>
    </row>
    <row r="585" ht="15.75" customHeight="1">
      <c r="A585" s="2" t="s">
        <v>1075</v>
      </c>
      <c r="B585" s="2" t="s">
        <v>45</v>
      </c>
      <c r="C585" s="2" t="s">
        <v>36</v>
      </c>
      <c r="D585" s="2" t="s">
        <v>37</v>
      </c>
      <c r="E585" s="2" t="s">
        <v>17</v>
      </c>
      <c r="F585" s="2" t="s">
        <v>21</v>
      </c>
      <c r="G585" s="3" t="str">
        <f t="shared" si="1"/>
        <v>P3 - Backlog</v>
      </c>
      <c r="H585" s="4" t="s">
        <v>1076</v>
      </c>
    </row>
    <row r="586" ht="15.75" customHeight="1">
      <c r="A586" s="2" t="s">
        <v>1077</v>
      </c>
      <c r="B586" s="2" t="s">
        <v>45</v>
      </c>
      <c r="C586" s="2" t="s">
        <v>36</v>
      </c>
      <c r="D586" s="2" t="s">
        <v>37</v>
      </c>
      <c r="E586" s="2" t="s">
        <v>17</v>
      </c>
      <c r="F586" s="2" t="s">
        <v>21</v>
      </c>
      <c r="G586" s="3" t="str">
        <f t="shared" si="1"/>
        <v>P3 - Backlog</v>
      </c>
      <c r="H586" s="4" t="s">
        <v>1078</v>
      </c>
    </row>
    <row r="587" ht="15.75" customHeight="1">
      <c r="A587" s="2" t="s">
        <v>1079</v>
      </c>
      <c r="B587" s="2" t="s">
        <v>1033</v>
      </c>
      <c r="C587" s="2" t="s">
        <v>36</v>
      </c>
      <c r="D587" s="2" t="s">
        <v>37</v>
      </c>
      <c r="E587" s="2" t="s">
        <v>17</v>
      </c>
      <c r="F587" s="2" t="s">
        <v>21</v>
      </c>
      <c r="G587" s="3" t="str">
        <f t="shared" si="1"/>
        <v>P3 - Backlog</v>
      </c>
      <c r="H587" s="4" t="s">
        <v>1080</v>
      </c>
    </row>
    <row r="588" ht="15.75" customHeight="1">
      <c r="A588" s="2" t="s">
        <v>1079</v>
      </c>
      <c r="B588" s="2" t="s">
        <v>1035</v>
      </c>
      <c r="C588" s="2" t="s">
        <v>36</v>
      </c>
      <c r="D588" s="2" t="s">
        <v>37</v>
      </c>
      <c r="E588" s="2" t="s">
        <v>17</v>
      </c>
      <c r="F588" s="2" t="s">
        <v>21</v>
      </c>
      <c r="G588" s="3" t="str">
        <f t="shared" si="1"/>
        <v>P3 - Backlog</v>
      </c>
      <c r="H588" s="4" t="s">
        <v>1080</v>
      </c>
    </row>
    <row r="589" ht="15.75" customHeight="1">
      <c r="A589" s="2" t="s">
        <v>1081</v>
      </c>
      <c r="B589" s="2" t="s">
        <v>1082</v>
      </c>
      <c r="C589" s="2" t="s">
        <v>36</v>
      </c>
      <c r="D589" s="2" t="s">
        <v>37</v>
      </c>
      <c r="E589" s="2" t="s">
        <v>17</v>
      </c>
      <c r="F589" s="2" t="s">
        <v>21</v>
      </c>
      <c r="G589" s="3" t="str">
        <f t="shared" si="1"/>
        <v>P3 - Backlog</v>
      </c>
      <c r="H589" s="4" t="s">
        <v>1083</v>
      </c>
    </row>
    <row r="590" ht="15.75" customHeight="1">
      <c r="A590" s="2" t="s">
        <v>1084</v>
      </c>
      <c r="B590" s="2" t="s">
        <v>1085</v>
      </c>
      <c r="C590" s="2" t="s">
        <v>36</v>
      </c>
      <c r="D590" s="2" t="s">
        <v>37</v>
      </c>
      <c r="E590" s="2" t="s">
        <v>17</v>
      </c>
      <c r="F590" s="2" t="s">
        <v>21</v>
      </c>
      <c r="G590" s="3" t="str">
        <f t="shared" si="1"/>
        <v>P3 - Backlog</v>
      </c>
      <c r="H590" s="4" t="s">
        <v>1086</v>
      </c>
    </row>
    <row r="591" ht="15.75" customHeight="1">
      <c r="A591" s="2" t="s">
        <v>1087</v>
      </c>
      <c r="B591" s="2" t="s">
        <v>1088</v>
      </c>
      <c r="C591" s="2" t="s">
        <v>36</v>
      </c>
      <c r="D591" s="2" t="s">
        <v>37</v>
      </c>
      <c r="E591" s="2" t="s">
        <v>17</v>
      </c>
      <c r="F591" s="2" t="s">
        <v>21</v>
      </c>
      <c r="G591" s="3" t="str">
        <f t="shared" si="1"/>
        <v>P3 - Backlog</v>
      </c>
      <c r="H591" s="4" t="s">
        <v>1089</v>
      </c>
    </row>
    <row r="592" ht="15.75" customHeight="1">
      <c r="A592" s="2" t="s">
        <v>1087</v>
      </c>
      <c r="B592" s="2" t="s">
        <v>1090</v>
      </c>
      <c r="C592" s="2" t="s">
        <v>36</v>
      </c>
      <c r="D592" s="2" t="s">
        <v>37</v>
      </c>
      <c r="E592" s="2" t="s">
        <v>17</v>
      </c>
      <c r="F592" s="2" t="s">
        <v>21</v>
      </c>
      <c r="G592" s="3" t="str">
        <f t="shared" si="1"/>
        <v>P3 - Backlog</v>
      </c>
      <c r="H592" s="4" t="s">
        <v>1089</v>
      </c>
    </row>
    <row r="593" ht="15.75" customHeight="1">
      <c r="A593" s="2" t="s">
        <v>1087</v>
      </c>
      <c r="B593" s="2" t="s">
        <v>1091</v>
      </c>
      <c r="C593" s="2" t="s">
        <v>36</v>
      </c>
      <c r="D593" s="2" t="s">
        <v>37</v>
      </c>
      <c r="E593" s="2" t="s">
        <v>17</v>
      </c>
      <c r="F593" s="2" t="s">
        <v>21</v>
      </c>
      <c r="G593" s="3" t="str">
        <f t="shared" si="1"/>
        <v>P3 - Backlog</v>
      </c>
      <c r="H593" s="4" t="s">
        <v>1089</v>
      </c>
    </row>
    <row r="594" ht="15.75" customHeight="1">
      <c r="A594" s="2" t="s">
        <v>1087</v>
      </c>
      <c r="B594" s="2" t="s">
        <v>1092</v>
      </c>
      <c r="C594" s="2" t="s">
        <v>36</v>
      </c>
      <c r="D594" s="2" t="s">
        <v>37</v>
      </c>
      <c r="E594" s="2" t="s">
        <v>17</v>
      </c>
      <c r="F594" s="2" t="s">
        <v>21</v>
      </c>
      <c r="G594" s="3" t="str">
        <f t="shared" si="1"/>
        <v>P3 - Backlog</v>
      </c>
      <c r="H594" s="4" t="s">
        <v>1089</v>
      </c>
    </row>
    <row r="595" ht="15.75" customHeight="1">
      <c r="A595" s="2" t="s">
        <v>1087</v>
      </c>
      <c r="B595" s="2" t="s">
        <v>1093</v>
      </c>
      <c r="C595" s="2" t="s">
        <v>36</v>
      </c>
      <c r="D595" s="2" t="s">
        <v>37</v>
      </c>
      <c r="E595" s="2" t="s">
        <v>17</v>
      </c>
      <c r="F595" s="2" t="s">
        <v>21</v>
      </c>
      <c r="G595" s="3" t="str">
        <f t="shared" si="1"/>
        <v>P3 - Backlog</v>
      </c>
      <c r="H595" s="4" t="s">
        <v>1089</v>
      </c>
    </row>
    <row r="596" ht="15.75" customHeight="1">
      <c r="A596" s="2" t="s">
        <v>1087</v>
      </c>
      <c r="B596" s="2" t="s">
        <v>1094</v>
      </c>
      <c r="C596" s="2" t="s">
        <v>36</v>
      </c>
      <c r="D596" s="2" t="s">
        <v>37</v>
      </c>
      <c r="E596" s="2" t="s">
        <v>17</v>
      </c>
      <c r="F596" s="2" t="s">
        <v>21</v>
      </c>
      <c r="G596" s="3" t="str">
        <f t="shared" si="1"/>
        <v>P3 - Backlog</v>
      </c>
      <c r="H596" s="4" t="s">
        <v>1089</v>
      </c>
    </row>
    <row r="597" ht="15.75" customHeight="1">
      <c r="A597" s="2" t="s">
        <v>1087</v>
      </c>
      <c r="B597" s="2" t="s">
        <v>1095</v>
      </c>
      <c r="C597" s="2" t="s">
        <v>36</v>
      </c>
      <c r="D597" s="2" t="s">
        <v>37</v>
      </c>
      <c r="E597" s="2" t="s">
        <v>17</v>
      </c>
      <c r="F597" s="2" t="s">
        <v>21</v>
      </c>
      <c r="G597" s="3" t="str">
        <f t="shared" si="1"/>
        <v>P3 - Backlog</v>
      </c>
      <c r="H597" s="4" t="s">
        <v>1089</v>
      </c>
    </row>
    <row r="598" ht="15.75" customHeight="1">
      <c r="A598" s="2" t="s">
        <v>1087</v>
      </c>
      <c r="B598" s="2" t="s">
        <v>1096</v>
      </c>
      <c r="C598" s="2" t="s">
        <v>36</v>
      </c>
      <c r="D598" s="2" t="s">
        <v>37</v>
      </c>
      <c r="E598" s="2" t="s">
        <v>17</v>
      </c>
      <c r="F598" s="2" t="s">
        <v>21</v>
      </c>
      <c r="G598" s="3" t="str">
        <f t="shared" si="1"/>
        <v>P3 - Backlog</v>
      </c>
      <c r="H598" s="4" t="s">
        <v>1089</v>
      </c>
    </row>
    <row r="599" ht="15.75" customHeight="1">
      <c r="A599" s="2" t="s">
        <v>1087</v>
      </c>
      <c r="B599" s="2" t="s">
        <v>1097</v>
      </c>
      <c r="C599" s="2" t="s">
        <v>36</v>
      </c>
      <c r="D599" s="2" t="s">
        <v>37</v>
      </c>
      <c r="E599" s="2" t="s">
        <v>17</v>
      </c>
      <c r="F599" s="2" t="s">
        <v>21</v>
      </c>
      <c r="G599" s="3" t="str">
        <f t="shared" si="1"/>
        <v>P3 - Backlog</v>
      </c>
      <c r="H599" s="4" t="s">
        <v>1089</v>
      </c>
    </row>
    <row r="600" ht="15.75" customHeight="1">
      <c r="A600" s="2" t="s">
        <v>1087</v>
      </c>
      <c r="B600" s="2" t="s">
        <v>1098</v>
      </c>
      <c r="C600" s="2" t="s">
        <v>36</v>
      </c>
      <c r="D600" s="2" t="s">
        <v>37</v>
      </c>
      <c r="E600" s="2" t="s">
        <v>17</v>
      </c>
      <c r="F600" s="2" t="s">
        <v>21</v>
      </c>
      <c r="G600" s="3" t="str">
        <f t="shared" si="1"/>
        <v>P3 - Backlog</v>
      </c>
      <c r="H600" s="4" t="s">
        <v>1089</v>
      </c>
    </row>
    <row r="601" ht="15.75" customHeight="1">
      <c r="A601" s="2" t="s">
        <v>1087</v>
      </c>
      <c r="B601" s="2" t="s">
        <v>1099</v>
      </c>
      <c r="C601" s="2" t="s">
        <v>36</v>
      </c>
      <c r="D601" s="2" t="s">
        <v>37</v>
      </c>
      <c r="E601" s="2" t="s">
        <v>17</v>
      </c>
      <c r="F601" s="2" t="s">
        <v>21</v>
      </c>
      <c r="G601" s="3" t="str">
        <f t="shared" si="1"/>
        <v>P3 - Backlog</v>
      </c>
      <c r="H601" s="4" t="s">
        <v>1089</v>
      </c>
    </row>
    <row r="602" ht="15.75" customHeight="1">
      <c r="A602" s="2" t="s">
        <v>1087</v>
      </c>
      <c r="B602" s="2" t="s">
        <v>1100</v>
      </c>
      <c r="C602" s="2" t="s">
        <v>36</v>
      </c>
      <c r="D602" s="2" t="s">
        <v>37</v>
      </c>
      <c r="E602" s="2" t="s">
        <v>17</v>
      </c>
      <c r="F602" s="2" t="s">
        <v>21</v>
      </c>
      <c r="G602" s="3" t="str">
        <f t="shared" si="1"/>
        <v>P3 - Backlog</v>
      </c>
      <c r="H602" s="4" t="s">
        <v>1089</v>
      </c>
    </row>
    <row r="603" ht="15.75" customHeight="1">
      <c r="A603" s="2" t="s">
        <v>1087</v>
      </c>
      <c r="B603" s="2" t="s">
        <v>1101</v>
      </c>
      <c r="C603" s="2" t="s">
        <v>36</v>
      </c>
      <c r="D603" s="2" t="s">
        <v>37</v>
      </c>
      <c r="E603" s="2" t="s">
        <v>17</v>
      </c>
      <c r="F603" s="2" t="s">
        <v>21</v>
      </c>
      <c r="G603" s="3" t="str">
        <f t="shared" si="1"/>
        <v>P3 - Backlog</v>
      </c>
      <c r="H603" s="4" t="s">
        <v>1089</v>
      </c>
    </row>
    <row r="604" ht="15.75" customHeight="1">
      <c r="A604" s="2" t="s">
        <v>1087</v>
      </c>
      <c r="B604" s="2" t="s">
        <v>1102</v>
      </c>
      <c r="C604" s="2" t="s">
        <v>36</v>
      </c>
      <c r="D604" s="2" t="s">
        <v>37</v>
      </c>
      <c r="E604" s="2" t="s">
        <v>17</v>
      </c>
      <c r="F604" s="2" t="s">
        <v>21</v>
      </c>
      <c r="G604" s="3" t="str">
        <f t="shared" si="1"/>
        <v>P3 - Backlog</v>
      </c>
      <c r="H604" s="4" t="s">
        <v>1089</v>
      </c>
    </row>
    <row r="605" ht="15.75" customHeight="1">
      <c r="A605" s="2" t="s">
        <v>1087</v>
      </c>
      <c r="B605" s="2" t="s">
        <v>1103</v>
      </c>
      <c r="C605" s="2" t="s">
        <v>36</v>
      </c>
      <c r="D605" s="2" t="s">
        <v>37</v>
      </c>
      <c r="E605" s="2" t="s">
        <v>17</v>
      </c>
      <c r="F605" s="2" t="s">
        <v>21</v>
      </c>
      <c r="G605" s="3" t="str">
        <f t="shared" si="1"/>
        <v>P3 - Backlog</v>
      </c>
      <c r="H605" s="4" t="s">
        <v>1089</v>
      </c>
    </row>
    <row r="606" ht="15.75" customHeight="1">
      <c r="A606" s="2" t="s">
        <v>1104</v>
      </c>
      <c r="B606" s="2" t="s">
        <v>506</v>
      </c>
      <c r="C606" s="2" t="s">
        <v>36</v>
      </c>
      <c r="D606" s="2" t="s">
        <v>37</v>
      </c>
      <c r="E606" s="2" t="s">
        <v>17</v>
      </c>
      <c r="F606" s="2" t="s">
        <v>21</v>
      </c>
      <c r="G606" s="3" t="str">
        <f t="shared" si="1"/>
        <v>P3 - Backlog</v>
      </c>
      <c r="H606" s="4" t="s">
        <v>1105</v>
      </c>
    </row>
    <row r="607" ht="15.75" customHeight="1">
      <c r="A607" s="2" t="s">
        <v>1104</v>
      </c>
      <c r="B607" s="2" t="s">
        <v>508</v>
      </c>
      <c r="C607" s="2" t="s">
        <v>36</v>
      </c>
      <c r="D607" s="2" t="s">
        <v>37</v>
      </c>
      <c r="E607" s="2" t="s">
        <v>17</v>
      </c>
      <c r="F607" s="2" t="s">
        <v>21</v>
      </c>
      <c r="G607" s="3" t="str">
        <f t="shared" si="1"/>
        <v>P3 - Backlog</v>
      </c>
      <c r="H607" s="4" t="s">
        <v>1105</v>
      </c>
    </row>
    <row r="608" ht="15.75" customHeight="1">
      <c r="A608" s="2" t="s">
        <v>1106</v>
      </c>
      <c r="B608" s="2" t="s">
        <v>510</v>
      </c>
      <c r="C608" s="2" t="s">
        <v>36</v>
      </c>
      <c r="D608" s="2" t="s">
        <v>37</v>
      </c>
      <c r="E608" s="2" t="s">
        <v>17</v>
      </c>
      <c r="F608" s="2" t="s">
        <v>21</v>
      </c>
      <c r="G608" s="3" t="str">
        <f t="shared" si="1"/>
        <v>P3 - Backlog</v>
      </c>
      <c r="H608" s="4" t="s">
        <v>1107</v>
      </c>
    </row>
    <row r="609" ht="15.75" customHeight="1">
      <c r="A609" s="2" t="s">
        <v>1108</v>
      </c>
      <c r="B609" s="2" t="s">
        <v>510</v>
      </c>
      <c r="C609" s="2" t="s">
        <v>36</v>
      </c>
      <c r="D609" s="2" t="s">
        <v>37</v>
      </c>
      <c r="E609" s="2" t="s">
        <v>17</v>
      </c>
      <c r="F609" s="2" t="s">
        <v>21</v>
      </c>
      <c r="G609" s="3" t="str">
        <f t="shared" si="1"/>
        <v>P3 - Backlog</v>
      </c>
      <c r="H609" s="4" t="s">
        <v>1109</v>
      </c>
    </row>
    <row r="610" ht="15.75" customHeight="1">
      <c r="A610" s="2" t="s">
        <v>1110</v>
      </c>
      <c r="B610" s="2" t="s">
        <v>510</v>
      </c>
      <c r="C610" s="2" t="s">
        <v>36</v>
      </c>
      <c r="D610" s="2" t="s">
        <v>37</v>
      </c>
      <c r="E610" s="2" t="s">
        <v>17</v>
      </c>
      <c r="F610" s="2" t="s">
        <v>21</v>
      </c>
      <c r="G610" s="3" t="str">
        <f t="shared" si="1"/>
        <v>P3 - Backlog</v>
      </c>
      <c r="H610" s="4" t="s">
        <v>1111</v>
      </c>
    </row>
    <row r="611" ht="15.75" customHeight="1">
      <c r="A611" s="2" t="s">
        <v>1112</v>
      </c>
      <c r="B611" s="2" t="s">
        <v>510</v>
      </c>
      <c r="C611" s="2" t="s">
        <v>36</v>
      </c>
      <c r="D611" s="2" t="s">
        <v>37</v>
      </c>
      <c r="E611" s="2" t="s">
        <v>17</v>
      </c>
      <c r="F611" s="2" t="s">
        <v>21</v>
      </c>
      <c r="G611" s="3" t="str">
        <f t="shared" si="1"/>
        <v>P3 - Backlog</v>
      </c>
      <c r="H611" s="4" t="s">
        <v>1113</v>
      </c>
    </row>
    <row r="612" ht="15.75" customHeight="1">
      <c r="A612" s="2" t="s">
        <v>1114</v>
      </c>
      <c r="B612" s="2" t="s">
        <v>510</v>
      </c>
      <c r="C612" s="2" t="s">
        <v>36</v>
      </c>
      <c r="D612" s="2" t="s">
        <v>37</v>
      </c>
      <c r="E612" s="2" t="s">
        <v>17</v>
      </c>
      <c r="F612" s="2" t="s">
        <v>21</v>
      </c>
      <c r="G612" s="3" t="str">
        <f t="shared" si="1"/>
        <v>P3 - Backlog</v>
      </c>
      <c r="H612" s="4" t="s">
        <v>1115</v>
      </c>
    </row>
    <row r="613" ht="15.75" customHeight="1">
      <c r="A613" s="2" t="s">
        <v>1116</v>
      </c>
      <c r="B613" s="2" t="s">
        <v>510</v>
      </c>
      <c r="C613" s="2" t="s">
        <v>36</v>
      </c>
      <c r="D613" s="2" t="s">
        <v>37</v>
      </c>
      <c r="E613" s="2" t="s">
        <v>17</v>
      </c>
      <c r="F613" s="2" t="s">
        <v>21</v>
      </c>
      <c r="G613" s="3" t="str">
        <f t="shared" si="1"/>
        <v>P3 - Backlog</v>
      </c>
      <c r="H613" s="4" t="s">
        <v>1117</v>
      </c>
    </row>
    <row r="614" ht="15.75" customHeight="1">
      <c r="A614" s="2" t="s">
        <v>1118</v>
      </c>
      <c r="B614" s="2" t="s">
        <v>510</v>
      </c>
      <c r="C614" s="2" t="s">
        <v>36</v>
      </c>
      <c r="D614" s="2" t="s">
        <v>37</v>
      </c>
      <c r="E614" s="2" t="s">
        <v>17</v>
      </c>
      <c r="F614" s="2" t="s">
        <v>21</v>
      </c>
      <c r="G614" s="3" t="str">
        <f t="shared" si="1"/>
        <v>P3 - Backlog</v>
      </c>
      <c r="H614" s="4" t="s">
        <v>1119</v>
      </c>
    </row>
    <row r="615" ht="15.75" customHeight="1">
      <c r="A615" s="2" t="s">
        <v>1120</v>
      </c>
      <c r="B615" s="2" t="s">
        <v>510</v>
      </c>
      <c r="C615" s="2" t="s">
        <v>36</v>
      </c>
      <c r="D615" s="2" t="s">
        <v>37</v>
      </c>
      <c r="E615" s="2" t="s">
        <v>17</v>
      </c>
      <c r="F615" s="2" t="s">
        <v>21</v>
      </c>
      <c r="G615" s="3" t="str">
        <f t="shared" si="1"/>
        <v>P3 - Backlog</v>
      </c>
      <c r="H615" s="4" t="s">
        <v>1121</v>
      </c>
    </row>
    <row r="616" ht="15.75" customHeight="1">
      <c r="A616" s="2" t="s">
        <v>1122</v>
      </c>
      <c r="B616" s="2" t="s">
        <v>510</v>
      </c>
      <c r="C616" s="2" t="s">
        <v>36</v>
      </c>
      <c r="D616" s="2" t="s">
        <v>37</v>
      </c>
      <c r="E616" s="2" t="s">
        <v>17</v>
      </c>
      <c r="F616" s="2" t="s">
        <v>21</v>
      </c>
      <c r="G616" s="3" t="str">
        <f t="shared" si="1"/>
        <v>P3 - Backlog</v>
      </c>
      <c r="H616" s="4" t="s">
        <v>1123</v>
      </c>
    </row>
    <row r="617" ht="15.75" customHeight="1">
      <c r="A617" s="2" t="s">
        <v>1124</v>
      </c>
      <c r="B617" s="2" t="s">
        <v>510</v>
      </c>
      <c r="C617" s="2" t="s">
        <v>36</v>
      </c>
      <c r="D617" s="2" t="s">
        <v>37</v>
      </c>
      <c r="E617" s="2" t="s">
        <v>17</v>
      </c>
      <c r="F617" s="2" t="s">
        <v>21</v>
      </c>
      <c r="G617" s="3" t="str">
        <f t="shared" si="1"/>
        <v>P3 - Backlog</v>
      </c>
      <c r="H617" s="4" t="s">
        <v>1125</v>
      </c>
    </row>
    <row r="618" ht="15.75" customHeight="1">
      <c r="A618" s="2" t="s">
        <v>1126</v>
      </c>
      <c r="B618" s="2" t="s">
        <v>510</v>
      </c>
      <c r="C618" s="2" t="s">
        <v>36</v>
      </c>
      <c r="D618" s="2" t="s">
        <v>37</v>
      </c>
      <c r="E618" s="2" t="s">
        <v>17</v>
      </c>
      <c r="F618" s="2" t="s">
        <v>21</v>
      </c>
      <c r="G618" s="3" t="str">
        <f t="shared" si="1"/>
        <v>P3 - Backlog</v>
      </c>
      <c r="H618" s="4" t="s">
        <v>1127</v>
      </c>
    </row>
    <row r="619" ht="15.75" customHeight="1">
      <c r="A619" s="2" t="s">
        <v>1128</v>
      </c>
      <c r="B619" s="2" t="s">
        <v>510</v>
      </c>
      <c r="C619" s="2" t="s">
        <v>36</v>
      </c>
      <c r="D619" s="2" t="s">
        <v>37</v>
      </c>
      <c r="E619" s="2" t="s">
        <v>17</v>
      </c>
      <c r="F619" s="2" t="s">
        <v>21</v>
      </c>
      <c r="G619" s="3" t="str">
        <f t="shared" si="1"/>
        <v>P3 - Backlog</v>
      </c>
      <c r="H619" s="4" t="s">
        <v>1129</v>
      </c>
    </row>
    <row r="620" ht="15.75" customHeight="1">
      <c r="A620" s="2" t="s">
        <v>1130</v>
      </c>
      <c r="B620" s="2" t="s">
        <v>1131</v>
      </c>
      <c r="C620" s="2" t="s">
        <v>36</v>
      </c>
      <c r="D620" s="2" t="s">
        <v>37</v>
      </c>
      <c r="E620" s="2" t="s">
        <v>17</v>
      </c>
      <c r="F620" s="2" t="s">
        <v>21</v>
      </c>
      <c r="G620" s="3" t="str">
        <f t="shared" si="1"/>
        <v>P3 - Backlog</v>
      </c>
      <c r="H620" s="4" t="s">
        <v>1132</v>
      </c>
    </row>
    <row r="621" ht="15.75" customHeight="1">
      <c r="A621" s="2" t="s">
        <v>1130</v>
      </c>
      <c r="B621" s="2" t="s">
        <v>1133</v>
      </c>
      <c r="C621" s="2" t="s">
        <v>36</v>
      </c>
      <c r="D621" s="2" t="s">
        <v>37</v>
      </c>
      <c r="E621" s="2" t="s">
        <v>17</v>
      </c>
      <c r="F621" s="2" t="s">
        <v>21</v>
      </c>
      <c r="G621" s="3" t="str">
        <f t="shared" si="1"/>
        <v>P3 - Backlog</v>
      </c>
      <c r="H621" s="4" t="s">
        <v>1132</v>
      </c>
    </row>
    <row r="622" ht="15.75" customHeight="1">
      <c r="A622" s="2" t="s">
        <v>1134</v>
      </c>
      <c r="B622" s="2" t="s">
        <v>1131</v>
      </c>
      <c r="C622" s="2" t="s">
        <v>36</v>
      </c>
      <c r="D622" s="2" t="s">
        <v>37</v>
      </c>
      <c r="E622" s="2" t="s">
        <v>17</v>
      </c>
      <c r="F622" s="2" t="s">
        <v>21</v>
      </c>
      <c r="G622" s="3" t="str">
        <f t="shared" si="1"/>
        <v>P3 - Backlog</v>
      </c>
      <c r="H622" s="4" t="s">
        <v>1135</v>
      </c>
    </row>
    <row r="623" ht="15.75" customHeight="1">
      <c r="A623" s="2" t="s">
        <v>1134</v>
      </c>
      <c r="B623" s="2" t="s">
        <v>1133</v>
      </c>
      <c r="C623" s="2" t="s">
        <v>36</v>
      </c>
      <c r="D623" s="2" t="s">
        <v>37</v>
      </c>
      <c r="E623" s="2" t="s">
        <v>17</v>
      </c>
      <c r="F623" s="2" t="s">
        <v>21</v>
      </c>
      <c r="G623" s="3" t="str">
        <f t="shared" si="1"/>
        <v>P3 - Backlog</v>
      </c>
      <c r="H623" s="4" t="s">
        <v>1135</v>
      </c>
    </row>
    <row r="624" ht="15.75" customHeight="1">
      <c r="A624" s="2" t="s">
        <v>1136</v>
      </c>
      <c r="B624" s="2" t="s">
        <v>45</v>
      </c>
      <c r="C624" s="2" t="s">
        <v>36</v>
      </c>
      <c r="D624" s="2" t="s">
        <v>37</v>
      </c>
      <c r="E624" s="2" t="s">
        <v>17</v>
      </c>
      <c r="F624" s="2" t="s">
        <v>21</v>
      </c>
      <c r="G624" s="3" t="str">
        <f t="shared" si="1"/>
        <v>P3 - Backlog</v>
      </c>
      <c r="H624" s="4" t="s">
        <v>1137</v>
      </c>
    </row>
    <row r="625" ht="15.75" customHeight="1">
      <c r="A625" s="2" t="s">
        <v>1138</v>
      </c>
      <c r="B625" s="2" t="s">
        <v>45</v>
      </c>
      <c r="C625" s="2" t="s">
        <v>36</v>
      </c>
      <c r="D625" s="2" t="s">
        <v>37</v>
      </c>
      <c r="E625" s="2" t="s">
        <v>17</v>
      </c>
      <c r="F625" s="2" t="s">
        <v>21</v>
      </c>
      <c r="G625" s="3" t="str">
        <f t="shared" si="1"/>
        <v>P3 - Backlog</v>
      </c>
      <c r="H625" s="4" t="s">
        <v>1139</v>
      </c>
    </row>
    <row r="626" ht="15.75" customHeight="1">
      <c r="A626" s="2" t="s">
        <v>1140</v>
      </c>
      <c r="B626" s="2" t="s">
        <v>1131</v>
      </c>
      <c r="C626" s="2" t="s">
        <v>36</v>
      </c>
      <c r="D626" s="2" t="s">
        <v>37</v>
      </c>
      <c r="E626" s="2" t="s">
        <v>17</v>
      </c>
      <c r="F626" s="2" t="s">
        <v>21</v>
      </c>
      <c r="G626" s="3" t="str">
        <f t="shared" si="1"/>
        <v>P3 - Backlog</v>
      </c>
      <c r="H626" s="4" t="s">
        <v>1141</v>
      </c>
    </row>
    <row r="627" ht="15.75" customHeight="1">
      <c r="A627" s="2" t="s">
        <v>1140</v>
      </c>
      <c r="B627" s="2" t="s">
        <v>1133</v>
      </c>
      <c r="C627" s="2" t="s">
        <v>36</v>
      </c>
      <c r="D627" s="2" t="s">
        <v>37</v>
      </c>
      <c r="E627" s="2" t="s">
        <v>17</v>
      </c>
      <c r="F627" s="2" t="s">
        <v>21</v>
      </c>
      <c r="G627" s="3" t="str">
        <f t="shared" si="1"/>
        <v>P3 - Backlog</v>
      </c>
      <c r="H627" s="4" t="s">
        <v>1141</v>
      </c>
    </row>
    <row r="628" ht="15.75" customHeight="1">
      <c r="A628" s="2" t="s">
        <v>1142</v>
      </c>
      <c r="B628" s="2" t="s">
        <v>1131</v>
      </c>
      <c r="C628" s="2" t="s">
        <v>36</v>
      </c>
      <c r="D628" s="2" t="s">
        <v>37</v>
      </c>
      <c r="E628" s="2" t="s">
        <v>17</v>
      </c>
      <c r="F628" s="2" t="s">
        <v>21</v>
      </c>
      <c r="G628" s="3" t="str">
        <f t="shared" si="1"/>
        <v>P3 - Backlog</v>
      </c>
      <c r="H628" s="4" t="s">
        <v>1143</v>
      </c>
    </row>
    <row r="629" ht="15.75" customHeight="1">
      <c r="A629" s="2" t="s">
        <v>1142</v>
      </c>
      <c r="B629" s="2" t="s">
        <v>1133</v>
      </c>
      <c r="C629" s="2" t="s">
        <v>36</v>
      </c>
      <c r="D629" s="2" t="s">
        <v>37</v>
      </c>
      <c r="E629" s="2" t="s">
        <v>17</v>
      </c>
      <c r="F629" s="2" t="s">
        <v>21</v>
      </c>
      <c r="G629" s="3" t="str">
        <f t="shared" si="1"/>
        <v>P3 - Backlog</v>
      </c>
      <c r="H629" s="4" t="s">
        <v>1143</v>
      </c>
    </row>
    <row r="630" ht="15.75" customHeight="1">
      <c r="A630" s="2" t="s">
        <v>1144</v>
      </c>
      <c r="B630" s="2" t="s">
        <v>517</v>
      </c>
      <c r="C630" s="2" t="s">
        <v>36</v>
      </c>
      <c r="D630" s="2" t="s">
        <v>37</v>
      </c>
      <c r="E630" s="2" t="s">
        <v>17</v>
      </c>
      <c r="F630" s="2" t="s">
        <v>21</v>
      </c>
      <c r="G630" s="3" t="str">
        <f t="shared" si="1"/>
        <v>P3 - Backlog</v>
      </c>
      <c r="H630" s="4" t="s">
        <v>1145</v>
      </c>
    </row>
    <row r="631" ht="15.75" customHeight="1">
      <c r="A631" s="2" t="s">
        <v>1144</v>
      </c>
      <c r="B631" s="2" t="s">
        <v>519</v>
      </c>
      <c r="C631" s="2" t="s">
        <v>36</v>
      </c>
      <c r="D631" s="2" t="s">
        <v>37</v>
      </c>
      <c r="E631" s="2" t="s">
        <v>17</v>
      </c>
      <c r="F631" s="2" t="s">
        <v>21</v>
      </c>
      <c r="G631" s="3" t="str">
        <f t="shared" si="1"/>
        <v>P3 - Backlog</v>
      </c>
      <c r="H631" s="4" t="s">
        <v>1145</v>
      </c>
    </row>
    <row r="632" ht="15.75" customHeight="1">
      <c r="A632" s="2" t="s">
        <v>1144</v>
      </c>
      <c r="B632" s="2" t="s">
        <v>520</v>
      </c>
      <c r="C632" s="2" t="s">
        <v>36</v>
      </c>
      <c r="D632" s="2" t="s">
        <v>37</v>
      </c>
      <c r="E632" s="2" t="s">
        <v>17</v>
      </c>
      <c r="F632" s="2" t="s">
        <v>21</v>
      </c>
      <c r="G632" s="3" t="str">
        <f t="shared" si="1"/>
        <v>P3 - Backlog</v>
      </c>
      <c r="H632" s="4" t="s">
        <v>1145</v>
      </c>
    </row>
    <row r="633" ht="15.75" customHeight="1">
      <c r="A633" s="2" t="s">
        <v>1144</v>
      </c>
      <c r="B633" s="2" t="s">
        <v>521</v>
      </c>
      <c r="C633" s="2" t="s">
        <v>36</v>
      </c>
      <c r="D633" s="2" t="s">
        <v>37</v>
      </c>
      <c r="E633" s="2" t="s">
        <v>17</v>
      </c>
      <c r="F633" s="2" t="s">
        <v>21</v>
      </c>
      <c r="G633" s="3" t="str">
        <f t="shared" si="1"/>
        <v>P3 - Backlog</v>
      </c>
      <c r="H633" s="4" t="s">
        <v>1145</v>
      </c>
    </row>
    <row r="634" ht="15.75" customHeight="1">
      <c r="A634" s="2" t="s">
        <v>1146</v>
      </c>
      <c r="B634" s="2" t="s">
        <v>1131</v>
      </c>
      <c r="C634" s="2" t="s">
        <v>36</v>
      </c>
      <c r="D634" s="2" t="s">
        <v>37</v>
      </c>
      <c r="E634" s="2" t="s">
        <v>17</v>
      </c>
      <c r="F634" s="2" t="s">
        <v>21</v>
      </c>
      <c r="G634" s="3" t="str">
        <f t="shared" si="1"/>
        <v>P3 - Backlog</v>
      </c>
      <c r="H634" s="4" t="s">
        <v>1147</v>
      </c>
    </row>
    <row r="635" ht="15.75" customHeight="1">
      <c r="A635" s="2" t="s">
        <v>1146</v>
      </c>
      <c r="B635" s="2" t="s">
        <v>1133</v>
      </c>
      <c r="C635" s="2" t="s">
        <v>36</v>
      </c>
      <c r="D635" s="2" t="s">
        <v>37</v>
      </c>
      <c r="E635" s="2" t="s">
        <v>17</v>
      </c>
      <c r="F635" s="2" t="s">
        <v>21</v>
      </c>
      <c r="G635" s="3" t="str">
        <f t="shared" si="1"/>
        <v>P3 - Backlog</v>
      </c>
      <c r="H635" s="4" t="s">
        <v>1147</v>
      </c>
    </row>
    <row r="636" ht="15.75" customHeight="1">
      <c r="A636" s="2" t="s">
        <v>1148</v>
      </c>
      <c r="B636" s="2" t="s">
        <v>45</v>
      </c>
      <c r="C636" s="2" t="s">
        <v>36</v>
      </c>
      <c r="D636" s="2" t="s">
        <v>37</v>
      </c>
      <c r="E636" s="2" t="s">
        <v>17</v>
      </c>
      <c r="F636" s="2" t="s">
        <v>21</v>
      </c>
      <c r="G636" s="3" t="str">
        <f t="shared" si="1"/>
        <v>P3 - Backlog</v>
      </c>
      <c r="H636" s="4" t="s">
        <v>1149</v>
      </c>
    </row>
    <row r="637" ht="15.75" customHeight="1">
      <c r="A637" s="2" t="s">
        <v>1150</v>
      </c>
      <c r="B637" s="2" t="s">
        <v>45</v>
      </c>
      <c r="C637" s="2" t="s">
        <v>36</v>
      </c>
      <c r="D637" s="2" t="s">
        <v>37</v>
      </c>
      <c r="E637" s="2" t="s">
        <v>17</v>
      </c>
      <c r="F637" s="2" t="s">
        <v>21</v>
      </c>
      <c r="G637" s="3" t="str">
        <f t="shared" si="1"/>
        <v>P3 - Backlog</v>
      </c>
      <c r="H637" s="4" t="s">
        <v>1151</v>
      </c>
    </row>
    <row r="638" ht="15.75" customHeight="1">
      <c r="A638" s="2" t="s">
        <v>1152</v>
      </c>
      <c r="B638" s="2" t="s">
        <v>45</v>
      </c>
      <c r="C638" s="2" t="s">
        <v>36</v>
      </c>
      <c r="D638" s="2" t="s">
        <v>37</v>
      </c>
      <c r="E638" s="2" t="s">
        <v>17</v>
      </c>
      <c r="F638" s="2" t="s">
        <v>21</v>
      </c>
      <c r="G638" s="3" t="str">
        <f t="shared" si="1"/>
        <v>P3 - Backlog</v>
      </c>
      <c r="H638" s="4" t="s">
        <v>1153</v>
      </c>
    </row>
    <row r="639" ht="15.75" customHeight="1">
      <c r="A639" s="2" t="s">
        <v>1154</v>
      </c>
      <c r="B639" s="2" t="s">
        <v>45</v>
      </c>
      <c r="C639" s="2" t="s">
        <v>36</v>
      </c>
      <c r="D639" s="2" t="s">
        <v>37</v>
      </c>
      <c r="E639" s="2" t="s">
        <v>17</v>
      </c>
      <c r="F639" s="2" t="s">
        <v>21</v>
      </c>
      <c r="G639" s="3" t="str">
        <f t="shared" si="1"/>
        <v>P3 - Backlog</v>
      </c>
      <c r="H639" s="4" t="s">
        <v>1155</v>
      </c>
    </row>
    <row r="640" ht="15.75" customHeight="1">
      <c r="A640" s="2" t="s">
        <v>1156</v>
      </c>
      <c r="B640" s="2" t="s">
        <v>45</v>
      </c>
      <c r="C640" s="2" t="s">
        <v>36</v>
      </c>
      <c r="D640" s="2" t="s">
        <v>37</v>
      </c>
      <c r="E640" s="2" t="s">
        <v>17</v>
      </c>
      <c r="F640" s="2" t="s">
        <v>21</v>
      </c>
      <c r="G640" s="3" t="str">
        <f t="shared" si="1"/>
        <v>P3 - Backlog</v>
      </c>
      <c r="H640" s="4" t="s">
        <v>1157</v>
      </c>
    </row>
    <row r="641" ht="15.75" customHeight="1">
      <c r="A641" s="2" t="s">
        <v>1158</v>
      </c>
      <c r="B641" s="2" t="s">
        <v>45</v>
      </c>
      <c r="C641" s="2" t="s">
        <v>36</v>
      </c>
      <c r="D641" s="2" t="s">
        <v>37</v>
      </c>
      <c r="E641" s="2" t="s">
        <v>17</v>
      </c>
      <c r="F641" s="2" t="s">
        <v>21</v>
      </c>
      <c r="G641" s="3" t="str">
        <f t="shared" si="1"/>
        <v>P3 - Backlog</v>
      </c>
      <c r="H641" s="4" t="s">
        <v>1159</v>
      </c>
    </row>
    <row r="642" ht="15.75" customHeight="1">
      <c r="A642" s="2" t="s">
        <v>1160</v>
      </c>
      <c r="B642" s="2" t="s">
        <v>45</v>
      </c>
      <c r="C642" s="2" t="s">
        <v>36</v>
      </c>
      <c r="D642" s="2" t="s">
        <v>37</v>
      </c>
      <c r="E642" s="2" t="s">
        <v>17</v>
      </c>
      <c r="F642" s="2" t="s">
        <v>21</v>
      </c>
      <c r="G642" s="3" t="str">
        <f t="shared" si="1"/>
        <v>P3 - Backlog</v>
      </c>
      <c r="H642" s="4" t="s">
        <v>1161</v>
      </c>
    </row>
    <row r="643" ht="15.75" customHeight="1">
      <c r="A643" s="2" t="s">
        <v>1162</v>
      </c>
      <c r="B643" s="2" t="s">
        <v>45</v>
      </c>
      <c r="C643" s="2" t="s">
        <v>36</v>
      </c>
      <c r="D643" s="2" t="s">
        <v>37</v>
      </c>
      <c r="E643" s="2" t="s">
        <v>17</v>
      </c>
      <c r="F643" s="2" t="s">
        <v>21</v>
      </c>
      <c r="G643" s="3" t="str">
        <f t="shared" si="1"/>
        <v>P3 - Backlog</v>
      </c>
      <c r="H643" s="4" t="s">
        <v>1163</v>
      </c>
    </row>
    <row r="644" ht="15.75" customHeight="1">
      <c r="A644" s="2" t="s">
        <v>1164</v>
      </c>
      <c r="B644" s="2" t="s">
        <v>45</v>
      </c>
      <c r="C644" s="2" t="s">
        <v>36</v>
      </c>
      <c r="D644" s="2" t="s">
        <v>37</v>
      </c>
      <c r="E644" s="2" t="s">
        <v>17</v>
      </c>
      <c r="F644" s="2" t="s">
        <v>21</v>
      </c>
      <c r="G644" s="3" t="str">
        <f t="shared" si="1"/>
        <v>P3 - Backlog</v>
      </c>
      <c r="H644" s="4" t="s">
        <v>1165</v>
      </c>
    </row>
    <row r="645" ht="15.75" customHeight="1">
      <c r="A645" s="2" t="s">
        <v>1166</v>
      </c>
      <c r="B645" s="2" t="s">
        <v>45</v>
      </c>
      <c r="C645" s="2" t="s">
        <v>36</v>
      </c>
      <c r="D645" s="2" t="s">
        <v>37</v>
      </c>
      <c r="E645" s="2" t="s">
        <v>17</v>
      </c>
      <c r="F645" s="2" t="s">
        <v>21</v>
      </c>
      <c r="G645" s="3" t="str">
        <f t="shared" si="1"/>
        <v>P3 - Backlog</v>
      </c>
      <c r="H645" s="4" t="s">
        <v>1167</v>
      </c>
    </row>
    <row r="646" ht="15.75" customHeight="1">
      <c r="A646" s="2" t="s">
        <v>1168</v>
      </c>
      <c r="B646" s="2" t="s">
        <v>45</v>
      </c>
      <c r="C646" s="2" t="s">
        <v>36</v>
      </c>
      <c r="D646" s="2" t="s">
        <v>37</v>
      </c>
      <c r="E646" s="2" t="s">
        <v>17</v>
      </c>
      <c r="F646" s="2" t="s">
        <v>21</v>
      </c>
      <c r="G646" s="3" t="str">
        <f t="shared" si="1"/>
        <v>P3 - Backlog</v>
      </c>
      <c r="H646" s="4" t="s">
        <v>1169</v>
      </c>
    </row>
    <row r="647" ht="15.75" customHeight="1">
      <c r="A647" s="2" t="s">
        <v>1170</v>
      </c>
      <c r="B647" s="2" t="s">
        <v>45</v>
      </c>
      <c r="C647" s="2" t="s">
        <v>36</v>
      </c>
      <c r="D647" s="2" t="s">
        <v>37</v>
      </c>
      <c r="E647" s="2" t="s">
        <v>17</v>
      </c>
      <c r="F647" s="2" t="s">
        <v>21</v>
      </c>
      <c r="G647" s="3" t="str">
        <f t="shared" si="1"/>
        <v>P3 - Backlog</v>
      </c>
      <c r="H647" s="4" t="s">
        <v>1171</v>
      </c>
    </row>
    <row r="648" ht="15.75" customHeight="1">
      <c r="A648" s="2" t="s">
        <v>1172</v>
      </c>
      <c r="B648" s="2" t="s">
        <v>45</v>
      </c>
      <c r="C648" s="2" t="s">
        <v>36</v>
      </c>
      <c r="D648" s="2" t="s">
        <v>37</v>
      </c>
      <c r="E648" s="2" t="s">
        <v>17</v>
      </c>
      <c r="F648" s="2" t="s">
        <v>21</v>
      </c>
      <c r="G648" s="3" t="str">
        <f t="shared" si="1"/>
        <v>P3 - Backlog</v>
      </c>
      <c r="H648" s="4" t="s">
        <v>1173</v>
      </c>
    </row>
    <row r="649" ht="15.75" customHeight="1">
      <c r="A649" s="2" t="s">
        <v>1174</v>
      </c>
      <c r="B649" s="2" t="s">
        <v>45</v>
      </c>
      <c r="C649" s="2" t="s">
        <v>36</v>
      </c>
      <c r="D649" s="2" t="s">
        <v>37</v>
      </c>
      <c r="E649" s="2" t="s">
        <v>17</v>
      </c>
      <c r="F649" s="2" t="s">
        <v>21</v>
      </c>
      <c r="G649" s="3" t="str">
        <f t="shared" si="1"/>
        <v>P3 - Backlog</v>
      </c>
      <c r="H649" s="4" t="s">
        <v>1175</v>
      </c>
    </row>
    <row r="650" ht="15.75" customHeight="1">
      <c r="A650" s="2" t="s">
        <v>1176</v>
      </c>
      <c r="B650" s="2" t="s">
        <v>45</v>
      </c>
      <c r="C650" s="2" t="s">
        <v>36</v>
      </c>
      <c r="D650" s="2" t="s">
        <v>37</v>
      </c>
      <c r="E650" s="2" t="s">
        <v>17</v>
      </c>
      <c r="F650" s="2" t="s">
        <v>21</v>
      </c>
      <c r="G650" s="3" t="str">
        <f t="shared" si="1"/>
        <v>P3 - Backlog</v>
      </c>
      <c r="H650" s="4" t="s">
        <v>1177</v>
      </c>
    </row>
    <row r="651" ht="15.75" customHeight="1">
      <c r="A651" s="2" t="s">
        <v>1178</v>
      </c>
      <c r="B651" s="2" t="s">
        <v>45</v>
      </c>
      <c r="C651" s="2" t="s">
        <v>36</v>
      </c>
      <c r="D651" s="2" t="s">
        <v>37</v>
      </c>
      <c r="E651" s="2" t="s">
        <v>17</v>
      </c>
      <c r="F651" s="2" t="s">
        <v>21</v>
      </c>
      <c r="G651" s="3" t="str">
        <f t="shared" si="1"/>
        <v>P3 - Backlog</v>
      </c>
      <c r="H651" s="4" t="s">
        <v>1179</v>
      </c>
    </row>
    <row r="652" ht="15.75" customHeight="1">
      <c r="A652" s="2" t="s">
        <v>1180</v>
      </c>
      <c r="B652" s="2" t="s">
        <v>45</v>
      </c>
      <c r="C652" s="2" t="s">
        <v>36</v>
      </c>
      <c r="D652" s="2" t="s">
        <v>37</v>
      </c>
      <c r="E652" s="2" t="s">
        <v>17</v>
      </c>
      <c r="F652" s="2" t="s">
        <v>21</v>
      </c>
      <c r="G652" s="3" t="str">
        <f t="shared" si="1"/>
        <v>P3 - Backlog</v>
      </c>
      <c r="H652" s="4" t="s">
        <v>1181</v>
      </c>
    </row>
    <row r="653" ht="15.75" customHeight="1">
      <c r="A653" s="2" t="s">
        <v>1182</v>
      </c>
      <c r="B653" s="2" t="s">
        <v>45</v>
      </c>
      <c r="C653" s="2" t="s">
        <v>36</v>
      </c>
      <c r="D653" s="2" t="s">
        <v>37</v>
      </c>
      <c r="E653" s="2" t="s">
        <v>17</v>
      </c>
      <c r="F653" s="2" t="s">
        <v>21</v>
      </c>
      <c r="G653" s="3" t="str">
        <f t="shared" si="1"/>
        <v>P3 - Backlog</v>
      </c>
      <c r="H653" s="4" t="s">
        <v>1183</v>
      </c>
    </row>
    <row r="654" ht="15.75" customHeight="1">
      <c r="A654" s="2" t="s">
        <v>1184</v>
      </c>
      <c r="B654" s="2" t="s">
        <v>45</v>
      </c>
      <c r="C654" s="2" t="s">
        <v>36</v>
      </c>
      <c r="D654" s="2" t="s">
        <v>37</v>
      </c>
      <c r="E654" s="2" t="s">
        <v>17</v>
      </c>
      <c r="F654" s="2" t="s">
        <v>21</v>
      </c>
      <c r="G654" s="3" t="str">
        <f t="shared" si="1"/>
        <v>P3 - Backlog</v>
      </c>
      <c r="H654" s="4" t="s">
        <v>1185</v>
      </c>
    </row>
    <row r="655" ht="15.75" customHeight="1">
      <c r="A655" s="2" t="s">
        <v>1186</v>
      </c>
      <c r="B655" s="2" t="s">
        <v>45</v>
      </c>
      <c r="C655" s="2" t="s">
        <v>36</v>
      </c>
      <c r="D655" s="2" t="s">
        <v>37</v>
      </c>
      <c r="E655" s="2" t="s">
        <v>17</v>
      </c>
      <c r="F655" s="2" t="s">
        <v>21</v>
      </c>
      <c r="G655" s="3" t="str">
        <f t="shared" si="1"/>
        <v>P3 - Backlog</v>
      </c>
      <c r="H655" s="4" t="s">
        <v>1187</v>
      </c>
    </row>
    <row r="656" ht="15.75" customHeight="1">
      <c r="A656" s="2" t="s">
        <v>1188</v>
      </c>
      <c r="B656" s="2" t="s">
        <v>45</v>
      </c>
      <c r="C656" s="2" t="s">
        <v>36</v>
      </c>
      <c r="D656" s="2" t="s">
        <v>37</v>
      </c>
      <c r="E656" s="2" t="s">
        <v>17</v>
      </c>
      <c r="F656" s="2" t="s">
        <v>21</v>
      </c>
      <c r="G656" s="3" t="str">
        <f t="shared" si="1"/>
        <v>P3 - Backlog</v>
      </c>
      <c r="H656" s="4" t="s">
        <v>1189</v>
      </c>
    </row>
    <row r="657" ht="15.75" customHeight="1">
      <c r="A657" s="2" t="s">
        <v>1190</v>
      </c>
      <c r="B657" s="2" t="s">
        <v>45</v>
      </c>
      <c r="C657" s="2" t="s">
        <v>36</v>
      </c>
      <c r="D657" s="2" t="s">
        <v>37</v>
      </c>
      <c r="E657" s="2" t="s">
        <v>17</v>
      </c>
      <c r="F657" s="2" t="s">
        <v>21</v>
      </c>
      <c r="G657" s="3" t="str">
        <f t="shared" si="1"/>
        <v>P3 - Backlog</v>
      </c>
      <c r="H657" s="4" t="s">
        <v>1191</v>
      </c>
    </row>
    <row r="658" ht="15.75" customHeight="1">
      <c r="A658" s="2" t="s">
        <v>1192</v>
      </c>
      <c r="B658" s="2" t="s">
        <v>45</v>
      </c>
      <c r="C658" s="2" t="s">
        <v>36</v>
      </c>
      <c r="D658" s="2" t="s">
        <v>37</v>
      </c>
      <c r="E658" s="2" t="s">
        <v>17</v>
      </c>
      <c r="F658" s="2" t="s">
        <v>21</v>
      </c>
      <c r="G658" s="3" t="str">
        <f t="shared" si="1"/>
        <v>P3 - Backlog</v>
      </c>
      <c r="H658" s="4" t="s">
        <v>1193</v>
      </c>
    </row>
    <row r="659" ht="15.75" customHeight="1">
      <c r="A659" s="2" t="s">
        <v>1194</v>
      </c>
      <c r="B659" s="2" t="s">
        <v>45</v>
      </c>
      <c r="C659" s="2" t="s">
        <v>36</v>
      </c>
      <c r="D659" s="2" t="s">
        <v>37</v>
      </c>
      <c r="E659" s="2" t="s">
        <v>17</v>
      </c>
      <c r="F659" s="2" t="s">
        <v>21</v>
      </c>
      <c r="G659" s="3" t="str">
        <f t="shared" si="1"/>
        <v>P3 - Backlog</v>
      </c>
      <c r="H659" s="4" t="s">
        <v>1195</v>
      </c>
    </row>
    <row r="660" ht="15.75" customHeight="1">
      <c r="A660" s="2" t="s">
        <v>1196</v>
      </c>
      <c r="B660" s="2" t="s">
        <v>45</v>
      </c>
      <c r="C660" s="2" t="s">
        <v>36</v>
      </c>
      <c r="D660" s="2" t="s">
        <v>37</v>
      </c>
      <c r="E660" s="2" t="s">
        <v>17</v>
      </c>
      <c r="F660" s="2" t="s">
        <v>21</v>
      </c>
      <c r="G660" s="3" t="str">
        <f t="shared" si="1"/>
        <v>P3 - Backlog</v>
      </c>
      <c r="H660" s="4" t="s">
        <v>1197</v>
      </c>
    </row>
    <row r="661" ht="15.75" customHeight="1">
      <c r="A661" s="2" t="s">
        <v>1198</v>
      </c>
      <c r="B661" s="2" t="s">
        <v>45</v>
      </c>
      <c r="C661" s="2" t="s">
        <v>36</v>
      </c>
      <c r="D661" s="2" t="s">
        <v>37</v>
      </c>
      <c r="E661" s="2" t="s">
        <v>17</v>
      </c>
      <c r="F661" s="2" t="s">
        <v>21</v>
      </c>
      <c r="G661" s="3" t="str">
        <f t="shared" si="1"/>
        <v>P3 - Backlog</v>
      </c>
      <c r="H661" s="4" t="s">
        <v>1199</v>
      </c>
    </row>
    <row r="662" ht="15.75" customHeight="1">
      <c r="A662" s="2" t="s">
        <v>1200</v>
      </c>
      <c r="B662" s="2" t="s">
        <v>45</v>
      </c>
      <c r="C662" s="2" t="s">
        <v>36</v>
      </c>
      <c r="D662" s="2" t="s">
        <v>37</v>
      </c>
      <c r="E662" s="2" t="s">
        <v>17</v>
      </c>
      <c r="F662" s="2" t="s">
        <v>21</v>
      </c>
      <c r="G662" s="3" t="str">
        <f t="shared" si="1"/>
        <v>P3 - Backlog</v>
      </c>
      <c r="H662" s="4" t="s">
        <v>1201</v>
      </c>
    </row>
    <row r="663" ht="15.75" customHeight="1">
      <c r="A663" s="2" t="s">
        <v>1202</v>
      </c>
      <c r="B663" s="2" t="s">
        <v>45</v>
      </c>
      <c r="C663" s="2" t="s">
        <v>36</v>
      </c>
      <c r="D663" s="2" t="s">
        <v>37</v>
      </c>
      <c r="E663" s="2" t="s">
        <v>17</v>
      </c>
      <c r="F663" s="2" t="s">
        <v>21</v>
      </c>
      <c r="G663" s="3" t="str">
        <f t="shared" si="1"/>
        <v>P3 - Backlog</v>
      </c>
      <c r="H663" s="4" t="s">
        <v>1203</v>
      </c>
    </row>
    <row r="664" ht="15.75" customHeight="1">
      <c r="A664" s="2" t="s">
        <v>1204</v>
      </c>
      <c r="B664" s="2" t="s">
        <v>45</v>
      </c>
      <c r="C664" s="2" t="s">
        <v>36</v>
      </c>
      <c r="D664" s="2" t="s">
        <v>37</v>
      </c>
      <c r="E664" s="2" t="s">
        <v>17</v>
      </c>
      <c r="F664" s="2" t="s">
        <v>21</v>
      </c>
      <c r="G664" s="3" t="str">
        <f t="shared" si="1"/>
        <v>P3 - Backlog</v>
      </c>
      <c r="H664" s="4" t="s">
        <v>1205</v>
      </c>
    </row>
    <row r="665" ht="15.75" customHeight="1">
      <c r="A665" s="2" t="s">
        <v>1206</v>
      </c>
      <c r="B665" s="2" t="s">
        <v>45</v>
      </c>
      <c r="C665" s="2" t="s">
        <v>36</v>
      </c>
      <c r="D665" s="2" t="s">
        <v>37</v>
      </c>
      <c r="E665" s="2" t="s">
        <v>17</v>
      </c>
      <c r="F665" s="2" t="s">
        <v>21</v>
      </c>
      <c r="G665" s="3" t="str">
        <f t="shared" si="1"/>
        <v>P3 - Backlog</v>
      </c>
      <c r="H665" s="4" t="s">
        <v>1207</v>
      </c>
    </row>
    <row r="666" ht="15.75" customHeight="1">
      <c r="A666" s="2" t="s">
        <v>1208</v>
      </c>
      <c r="B666" s="2" t="s">
        <v>45</v>
      </c>
      <c r="C666" s="2" t="s">
        <v>36</v>
      </c>
      <c r="D666" s="2" t="s">
        <v>37</v>
      </c>
      <c r="E666" s="2" t="s">
        <v>17</v>
      </c>
      <c r="F666" s="2" t="s">
        <v>21</v>
      </c>
      <c r="G666" s="3" t="str">
        <f t="shared" si="1"/>
        <v>P3 - Backlog</v>
      </c>
      <c r="H666" s="4" t="s">
        <v>1209</v>
      </c>
    </row>
    <row r="667" ht="15.75" customHeight="1">
      <c r="A667" s="2" t="s">
        <v>1210</v>
      </c>
      <c r="B667" s="2" t="s">
        <v>45</v>
      </c>
      <c r="C667" s="2" t="s">
        <v>36</v>
      </c>
      <c r="D667" s="2" t="s">
        <v>37</v>
      </c>
      <c r="E667" s="2" t="s">
        <v>17</v>
      </c>
      <c r="F667" s="2" t="s">
        <v>21</v>
      </c>
      <c r="G667" s="3" t="str">
        <f t="shared" si="1"/>
        <v>P3 - Backlog</v>
      </c>
      <c r="H667" s="4" t="s">
        <v>1211</v>
      </c>
    </row>
    <row r="668" ht="15.75" customHeight="1">
      <c r="A668" s="2" t="s">
        <v>1212</v>
      </c>
      <c r="B668" s="2" t="s">
        <v>45</v>
      </c>
      <c r="C668" s="2" t="s">
        <v>36</v>
      </c>
      <c r="D668" s="2" t="s">
        <v>37</v>
      </c>
      <c r="E668" s="2" t="s">
        <v>17</v>
      </c>
      <c r="F668" s="2" t="s">
        <v>21</v>
      </c>
      <c r="G668" s="3" t="str">
        <f t="shared" si="1"/>
        <v>P3 - Backlog</v>
      </c>
      <c r="H668" s="4" t="s">
        <v>1213</v>
      </c>
    </row>
    <row r="669" ht="15.75" customHeight="1">
      <c r="A669" s="2" t="s">
        <v>1214</v>
      </c>
      <c r="B669" s="2" t="s">
        <v>45</v>
      </c>
      <c r="C669" s="2" t="s">
        <v>36</v>
      </c>
      <c r="D669" s="2" t="s">
        <v>37</v>
      </c>
      <c r="E669" s="2" t="s">
        <v>17</v>
      </c>
      <c r="F669" s="2" t="s">
        <v>21</v>
      </c>
      <c r="G669" s="3" t="str">
        <f t="shared" si="1"/>
        <v>P3 - Backlog</v>
      </c>
      <c r="H669" s="4" t="s">
        <v>1215</v>
      </c>
    </row>
    <row r="670" ht="15.75" customHeight="1">
      <c r="A670" s="2" t="s">
        <v>1216</v>
      </c>
      <c r="B670" s="2" t="s">
        <v>45</v>
      </c>
      <c r="C670" s="2" t="s">
        <v>36</v>
      </c>
      <c r="D670" s="2" t="s">
        <v>37</v>
      </c>
      <c r="E670" s="2" t="s">
        <v>17</v>
      </c>
      <c r="F670" s="2" t="s">
        <v>21</v>
      </c>
      <c r="G670" s="3" t="str">
        <f t="shared" si="1"/>
        <v>P3 - Backlog</v>
      </c>
      <c r="H670" s="4" t="s">
        <v>1217</v>
      </c>
    </row>
    <row r="671" ht="15.75" customHeight="1">
      <c r="A671" s="2" t="s">
        <v>1218</v>
      </c>
      <c r="B671" s="2" t="s">
        <v>45</v>
      </c>
      <c r="C671" s="2" t="s">
        <v>36</v>
      </c>
      <c r="D671" s="2" t="s">
        <v>37</v>
      </c>
      <c r="E671" s="2" t="s">
        <v>17</v>
      </c>
      <c r="F671" s="2" t="s">
        <v>21</v>
      </c>
      <c r="G671" s="3" t="str">
        <f t="shared" si="1"/>
        <v>P3 - Backlog</v>
      </c>
      <c r="H671" s="4" t="s">
        <v>1219</v>
      </c>
    </row>
    <row r="672" ht="15.75" customHeight="1">
      <c r="A672" s="2" t="s">
        <v>1220</v>
      </c>
      <c r="B672" s="2" t="s">
        <v>45</v>
      </c>
      <c r="C672" s="2" t="s">
        <v>36</v>
      </c>
      <c r="D672" s="2" t="s">
        <v>37</v>
      </c>
      <c r="E672" s="2" t="s">
        <v>17</v>
      </c>
      <c r="F672" s="2" t="s">
        <v>21</v>
      </c>
      <c r="G672" s="3" t="str">
        <f t="shared" si="1"/>
        <v>P3 - Backlog</v>
      </c>
      <c r="H672" s="4" t="s">
        <v>1221</v>
      </c>
    </row>
    <row r="673" ht="15.75" customHeight="1">
      <c r="A673" s="2" t="s">
        <v>1222</v>
      </c>
      <c r="B673" s="2" t="s">
        <v>45</v>
      </c>
      <c r="C673" s="2" t="s">
        <v>36</v>
      </c>
      <c r="D673" s="2" t="s">
        <v>37</v>
      </c>
      <c r="E673" s="2" t="s">
        <v>17</v>
      </c>
      <c r="F673" s="2" t="s">
        <v>21</v>
      </c>
      <c r="G673" s="3" t="str">
        <f t="shared" si="1"/>
        <v>P3 - Backlog</v>
      </c>
      <c r="H673" s="4" t="s">
        <v>1223</v>
      </c>
    </row>
    <row r="674" ht="15.75" customHeight="1">
      <c r="A674" s="2" t="s">
        <v>1224</v>
      </c>
      <c r="B674" s="2" t="s">
        <v>45</v>
      </c>
      <c r="C674" s="2" t="s">
        <v>36</v>
      </c>
      <c r="D674" s="2" t="s">
        <v>37</v>
      </c>
      <c r="E674" s="2" t="s">
        <v>17</v>
      </c>
      <c r="F674" s="2" t="s">
        <v>21</v>
      </c>
      <c r="G674" s="3" t="str">
        <f t="shared" si="1"/>
        <v>P3 - Backlog</v>
      </c>
      <c r="H674" s="4" t="s">
        <v>1225</v>
      </c>
    </row>
    <row r="675" ht="15.75" customHeight="1">
      <c r="A675" s="2" t="s">
        <v>1226</v>
      </c>
      <c r="B675" s="2" t="s">
        <v>45</v>
      </c>
      <c r="C675" s="2" t="s">
        <v>36</v>
      </c>
      <c r="D675" s="2" t="s">
        <v>37</v>
      </c>
      <c r="E675" s="2" t="s">
        <v>17</v>
      </c>
      <c r="F675" s="2" t="s">
        <v>21</v>
      </c>
      <c r="G675" s="3" t="str">
        <f t="shared" si="1"/>
        <v>P3 - Backlog</v>
      </c>
      <c r="H675" s="4" t="s">
        <v>1227</v>
      </c>
    </row>
    <row r="676" ht="15.75" customHeight="1">
      <c r="A676" s="2" t="s">
        <v>1228</v>
      </c>
      <c r="B676" s="2" t="s">
        <v>45</v>
      </c>
      <c r="C676" s="2" t="s">
        <v>36</v>
      </c>
      <c r="D676" s="2" t="s">
        <v>37</v>
      </c>
      <c r="E676" s="2" t="s">
        <v>17</v>
      </c>
      <c r="F676" s="2" t="s">
        <v>21</v>
      </c>
      <c r="G676" s="3" t="str">
        <f t="shared" si="1"/>
        <v>P3 - Backlog</v>
      </c>
      <c r="H676" s="4" t="s">
        <v>1229</v>
      </c>
    </row>
    <row r="677" ht="15.75" customHeight="1">
      <c r="A677" s="2" t="s">
        <v>1230</v>
      </c>
      <c r="B677" s="2" t="s">
        <v>45</v>
      </c>
      <c r="C677" s="2" t="s">
        <v>36</v>
      </c>
      <c r="D677" s="2" t="s">
        <v>37</v>
      </c>
      <c r="E677" s="2" t="s">
        <v>17</v>
      </c>
      <c r="F677" s="2" t="s">
        <v>21</v>
      </c>
      <c r="G677" s="3" t="str">
        <f t="shared" si="1"/>
        <v>P3 - Backlog</v>
      </c>
      <c r="H677" s="4" t="s">
        <v>1231</v>
      </c>
    </row>
    <row r="678" ht="15.75" customHeight="1">
      <c r="A678" s="2" t="s">
        <v>1232</v>
      </c>
      <c r="B678" s="2" t="s">
        <v>45</v>
      </c>
      <c r="C678" s="2" t="s">
        <v>36</v>
      </c>
      <c r="D678" s="2" t="s">
        <v>37</v>
      </c>
      <c r="E678" s="2" t="s">
        <v>17</v>
      </c>
      <c r="F678" s="2" t="s">
        <v>21</v>
      </c>
      <c r="G678" s="3" t="str">
        <f t="shared" si="1"/>
        <v>P3 - Backlog</v>
      </c>
      <c r="H678" s="4" t="s">
        <v>1233</v>
      </c>
    </row>
    <row r="679" ht="15.75" customHeight="1">
      <c r="A679" s="2" t="s">
        <v>1234</v>
      </c>
      <c r="B679" s="2" t="s">
        <v>45</v>
      </c>
      <c r="C679" s="2" t="s">
        <v>36</v>
      </c>
      <c r="D679" s="2" t="s">
        <v>37</v>
      </c>
      <c r="E679" s="2" t="s">
        <v>17</v>
      </c>
      <c r="F679" s="2" t="s">
        <v>21</v>
      </c>
      <c r="G679" s="3" t="str">
        <f t="shared" si="1"/>
        <v>P3 - Backlog</v>
      </c>
      <c r="H679" s="4" t="s">
        <v>1235</v>
      </c>
    </row>
    <row r="680" ht="15.75" customHeight="1">
      <c r="A680" s="2" t="s">
        <v>1236</v>
      </c>
      <c r="B680" s="2" t="s">
        <v>45</v>
      </c>
      <c r="C680" s="2" t="s">
        <v>36</v>
      </c>
      <c r="D680" s="2" t="s">
        <v>37</v>
      </c>
      <c r="E680" s="2" t="s">
        <v>17</v>
      </c>
      <c r="F680" s="2" t="s">
        <v>21</v>
      </c>
      <c r="G680" s="3" t="str">
        <f t="shared" si="1"/>
        <v>P3 - Backlog</v>
      </c>
      <c r="H680" s="4" t="s">
        <v>1237</v>
      </c>
    </row>
    <row r="681" ht="15.75" customHeight="1">
      <c r="A681" s="2" t="s">
        <v>1238</v>
      </c>
      <c r="B681" s="2" t="s">
        <v>45</v>
      </c>
      <c r="C681" s="2" t="s">
        <v>36</v>
      </c>
      <c r="D681" s="2" t="s">
        <v>37</v>
      </c>
      <c r="E681" s="2" t="s">
        <v>17</v>
      </c>
      <c r="F681" s="2" t="s">
        <v>21</v>
      </c>
      <c r="G681" s="3" t="str">
        <f t="shared" si="1"/>
        <v>P3 - Backlog</v>
      </c>
      <c r="H681" s="4" t="s">
        <v>1239</v>
      </c>
    </row>
    <row r="682" ht="15.75" customHeight="1">
      <c r="A682" s="2" t="s">
        <v>1240</v>
      </c>
      <c r="B682" s="2" t="s">
        <v>45</v>
      </c>
      <c r="C682" s="2" t="s">
        <v>36</v>
      </c>
      <c r="D682" s="2" t="s">
        <v>37</v>
      </c>
      <c r="E682" s="2" t="s">
        <v>17</v>
      </c>
      <c r="F682" s="2" t="s">
        <v>21</v>
      </c>
      <c r="G682" s="3" t="str">
        <f t="shared" si="1"/>
        <v>P3 - Backlog</v>
      </c>
      <c r="H682" s="4" t="s">
        <v>1241</v>
      </c>
    </row>
    <row r="683" ht="15.75" customHeight="1">
      <c r="A683" s="2" t="s">
        <v>1242</v>
      </c>
      <c r="B683" s="2" t="s">
        <v>45</v>
      </c>
      <c r="C683" s="2" t="s">
        <v>36</v>
      </c>
      <c r="D683" s="2" t="s">
        <v>37</v>
      </c>
      <c r="E683" s="2" t="s">
        <v>17</v>
      </c>
      <c r="F683" s="2" t="s">
        <v>21</v>
      </c>
      <c r="G683" s="3" t="str">
        <f t="shared" si="1"/>
        <v>P3 - Backlog</v>
      </c>
      <c r="H683" s="4" t="s">
        <v>1243</v>
      </c>
    </row>
    <row r="684" ht="15.75" customHeight="1">
      <c r="A684" s="2" t="s">
        <v>1244</v>
      </c>
      <c r="B684" s="2" t="s">
        <v>45</v>
      </c>
      <c r="C684" s="2" t="s">
        <v>36</v>
      </c>
      <c r="D684" s="2" t="s">
        <v>37</v>
      </c>
      <c r="E684" s="2" t="s">
        <v>17</v>
      </c>
      <c r="F684" s="2" t="s">
        <v>21</v>
      </c>
      <c r="G684" s="3" t="str">
        <f t="shared" si="1"/>
        <v>P3 - Backlog</v>
      </c>
      <c r="H684" s="4" t="s">
        <v>1245</v>
      </c>
    </row>
    <row r="685" ht="15.75" customHeight="1">
      <c r="A685" s="2" t="s">
        <v>1246</v>
      </c>
      <c r="B685" s="2" t="s">
        <v>45</v>
      </c>
      <c r="C685" s="2" t="s">
        <v>36</v>
      </c>
      <c r="D685" s="2" t="s">
        <v>37</v>
      </c>
      <c r="E685" s="2" t="s">
        <v>17</v>
      </c>
      <c r="F685" s="2" t="s">
        <v>21</v>
      </c>
      <c r="G685" s="3" t="str">
        <f t="shared" si="1"/>
        <v>P3 - Backlog</v>
      </c>
      <c r="H685" s="4" t="s">
        <v>1247</v>
      </c>
    </row>
    <row r="686" ht="15.75" customHeight="1">
      <c r="A686" s="2" t="s">
        <v>1248</v>
      </c>
      <c r="B686" s="2" t="s">
        <v>45</v>
      </c>
      <c r="C686" s="2" t="s">
        <v>36</v>
      </c>
      <c r="D686" s="2" t="s">
        <v>37</v>
      </c>
      <c r="E686" s="2" t="s">
        <v>17</v>
      </c>
      <c r="F686" s="2" t="s">
        <v>21</v>
      </c>
      <c r="G686" s="3" t="str">
        <f t="shared" si="1"/>
        <v>P3 - Backlog</v>
      </c>
      <c r="H686" s="4" t="s">
        <v>1249</v>
      </c>
    </row>
    <row r="687" ht="15.75" customHeight="1">
      <c r="A687" s="2" t="s">
        <v>1250</v>
      </c>
      <c r="B687" s="2" t="s">
        <v>45</v>
      </c>
      <c r="C687" s="2" t="s">
        <v>36</v>
      </c>
      <c r="D687" s="2" t="s">
        <v>37</v>
      </c>
      <c r="E687" s="2" t="s">
        <v>17</v>
      </c>
      <c r="F687" s="2" t="s">
        <v>21</v>
      </c>
      <c r="G687" s="3" t="str">
        <f t="shared" si="1"/>
        <v>P3 - Backlog</v>
      </c>
      <c r="H687" s="4" t="s">
        <v>1251</v>
      </c>
    </row>
    <row r="688" ht="15.75" customHeight="1">
      <c r="A688" s="2" t="s">
        <v>1252</v>
      </c>
      <c r="B688" s="2" t="s">
        <v>45</v>
      </c>
      <c r="C688" s="2" t="s">
        <v>36</v>
      </c>
      <c r="D688" s="2" t="s">
        <v>37</v>
      </c>
      <c r="E688" s="2" t="s">
        <v>17</v>
      </c>
      <c r="F688" s="2" t="s">
        <v>21</v>
      </c>
      <c r="G688" s="3" t="str">
        <f t="shared" si="1"/>
        <v>P3 - Backlog</v>
      </c>
      <c r="H688" s="4" t="s">
        <v>1253</v>
      </c>
    </row>
    <row r="689" ht="15.75" customHeight="1">
      <c r="A689" s="2" t="s">
        <v>1254</v>
      </c>
      <c r="B689" s="2" t="s">
        <v>45</v>
      </c>
      <c r="C689" s="2" t="s">
        <v>36</v>
      </c>
      <c r="D689" s="2" t="s">
        <v>37</v>
      </c>
      <c r="E689" s="2" t="s">
        <v>17</v>
      </c>
      <c r="F689" s="2" t="s">
        <v>21</v>
      </c>
      <c r="G689" s="3" t="str">
        <f t="shared" si="1"/>
        <v>P3 - Backlog</v>
      </c>
      <c r="H689" s="4" t="s">
        <v>1255</v>
      </c>
    </row>
    <row r="690" ht="15.75" customHeight="1">
      <c r="A690" s="2" t="s">
        <v>1256</v>
      </c>
      <c r="B690" s="2" t="s">
        <v>45</v>
      </c>
      <c r="C690" s="2" t="s">
        <v>36</v>
      </c>
      <c r="D690" s="2" t="s">
        <v>37</v>
      </c>
      <c r="E690" s="2" t="s">
        <v>17</v>
      </c>
      <c r="F690" s="2" t="s">
        <v>21</v>
      </c>
      <c r="G690" s="3" t="str">
        <f t="shared" si="1"/>
        <v>P3 - Backlog</v>
      </c>
      <c r="H690" s="4" t="s">
        <v>1257</v>
      </c>
    </row>
    <row r="691" ht="15.75" customHeight="1">
      <c r="A691" s="2" t="s">
        <v>1258</v>
      </c>
      <c r="B691" s="2" t="s">
        <v>45</v>
      </c>
      <c r="C691" s="2" t="s">
        <v>36</v>
      </c>
      <c r="D691" s="2" t="s">
        <v>37</v>
      </c>
      <c r="E691" s="2" t="s">
        <v>17</v>
      </c>
      <c r="F691" s="2" t="s">
        <v>21</v>
      </c>
      <c r="G691" s="3" t="str">
        <f t="shared" si="1"/>
        <v>P3 - Backlog</v>
      </c>
      <c r="H691" s="4" t="s">
        <v>1259</v>
      </c>
    </row>
    <row r="692" ht="15.75" customHeight="1">
      <c r="A692" s="2" t="s">
        <v>1260</v>
      </c>
      <c r="B692" s="2" t="s">
        <v>45</v>
      </c>
      <c r="C692" s="2" t="s">
        <v>36</v>
      </c>
      <c r="D692" s="2" t="s">
        <v>37</v>
      </c>
      <c r="E692" s="2" t="s">
        <v>17</v>
      </c>
      <c r="F692" s="2" t="s">
        <v>21</v>
      </c>
      <c r="G692" s="3" t="str">
        <f t="shared" si="1"/>
        <v>P3 - Backlog</v>
      </c>
      <c r="H692" s="4" t="s">
        <v>1261</v>
      </c>
    </row>
    <row r="693" ht="15.75" customHeight="1">
      <c r="A693" s="2" t="s">
        <v>1262</v>
      </c>
      <c r="B693" s="2" t="s">
        <v>45</v>
      </c>
      <c r="C693" s="2" t="s">
        <v>36</v>
      </c>
      <c r="D693" s="2" t="s">
        <v>37</v>
      </c>
      <c r="E693" s="2" t="s">
        <v>17</v>
      </c>
      <c r="F693" s="2" t="s">
        <v>21</v>
      </c>
      <c r="G693" s="3" t="str">
        <f t="shared" si="1"/>
        <v>P3 - Backlog</v>
      </c>
      <c r="H693" s="4" t="s">
        <v>1263</v>
      </c>
    </row>
    <row r="694" ht="15.75" customHeight="1">
      <c r="A694" s="2" t="s">
        <v>1264</v>
      </c>
      <c r="B694" s="2" t="s">
        <v>45</v>
      </c>
      <c r="C694" s="2" t="s">
        <v>36</v>
      </c>
      <c r="D694" s="2" t="s">
        <v>37</v>
      </c>
      <c r="E694" s="2" t="s">
        <v>17</v>
      </c>
      <c r="F694" s="2" t="s">
        <v>21</v>
      </c>
      <c r="G694" s="3" t="str">
        <f t="shared" si="1"/>
        <v>P3 - Backlog</v>
      </c>
      <c r="H694" s="4" t="s">
        <v>1265</v>
      </c>
    </row>
    <row r="695" ht="15.75" customHeight="1">
      <c r="A695" s="2" t="s">
        <v>1266</v>
      </c>
      <c r="B695" s="2" t="s">
        <v>45</v>
      </c>
      <c r="C695" s="2" t="s">
        <v>36</v>
      </c>
      <c r="D695" s="2" t="s">
        <v>37</v>
      </c>
      <c r="E695" s="2" t="s">
        <v>17</v>
      </c>
      <c r="F695" s="2" t="s">
        <v>21</v>
      </c>
      <c r="G695" s="3" t="str">
        <f t="shared" si="1"/>
        <v>P3 - Backlog</v>
      </c>
      <c r="H695" s="4" t="s">
        <v>1267</v>
      </c>
    </row>
    <row r="696" ht="15.75" customHeight="1">
      <c r="A696" s="2" t="s">
        <v>1268</v>
      </c>
      <c r="B696" s="2" t="s">
        <v>45</v>
      </c>
      <c r="C696" s="2" t="s">
        <v>36</v>
      </c>
      <c r="D696" s="2" t="s">
        <v>37</v>
      </c>
      <c r="E696" s="2" t="s">
        <v>17</v>
      </c>
      <c r="F696" s="2" t="s">
        <v>21</v>
      </c>
      <c r="G696" s="3" t="str">
        <f t="shared" si="1"/>
        <v>P3 - Backlog</v>
      </c>
      <c r="H696" s="4" t="s">
        <v>1269</v>
      </c>
    </row>
    <row r="697" ht="15.75" customHeight="1">
      <c r="A697" s="2" t="s">
        <v>1270</v>
      </c>
      <c r="B697" s="2" t="s">
        <v>45</v>
      </c>
      <c r="C697" s="2" t="s">
        <v>36</v>
      </c>
      <c r="D697" s="2" t="s">
        <v>37</v>
      </c>
      <c r="E697" s="2" t="s">
        <v>17</v>
      </c>
      <c r="F697" s="2" t="s">
        <v>21</v>
      </c>
      <c r="G697" s="3" t="str">
        <f t="shared" si="1"/>
        <v>P3 - Backlog</v>
      </c>
      <c r="H697" s="4" t="s">
        <v>1271</v>
      </c>
    </row>
    <row r="698" ht="15.75" customHeight="1">
      <c r="A698" s="2" t="s">
        <v>1272</v>
      </c>
      <c r="B698" s="2" t="s">
        <v>45</v>
      </c>
      <c r="C698" s="2" t="s">
        <v>36</v>
      </c>
      <c r="D698" s="2" t="s">
        <v>37</v>
      </c>
      <c r="E698" s="2" t="s">
        <v>17</v>
      </c>
      <c r="F698" s="2" t="s">
        <v>21</v>
      </c>
      <c r="G698" s="3" t="str">
        <f t="shared" si="1"/>
        <v>P3 - Backlog</v>
      </c>
      <c r="H698" s="4" t="s">
        <v>1273</v>
      </c>
    </row>
    <row r="699" ht="15.75" customHeight="1">
      <c r="A699" s="2" t="s">
        <v>1274</v>
      </c>
      <c r="B699" s="2" t="s">
        <v>45</v>
      </c>
      <c r="C699" s="2" t="s">
        <v>36</v>
      </c>
      <c r="D699" s="2" t="s">
        <v>37</v>
      </c>
      <c r="E699" s="2" t="s">
        <v>17</v>
      </c>
      <c r="F699" s="2" t="s">
        <v>21</v>
      </c>
      <c r="G699" s="3" t="str">
        <f t="shared" si="1"/>
        <v>P3 - Backlog</v>
      </c>
      <c r="H699" s="4" t="s">
        <v>1275</v>
      </c>
    </row>
    <row r="700" ht="15.75" customHeight="1">
      <c r="A700" s="2" t="s">
        <v>1276</v>
      </c>
      <c r="B700" s="2" t="s">
        <v>45</v>
      </c>
      <c r="C700" s="2" t="s">
        <v>36</v>
      </c>
      <c r="D700" s="2" t="s">
        <v>37</v>
      </c>
      <c r="E700" s="2" t="s">
        <v>17</v>
      </c>
      <c r="F700" s="2" t="s">
        <v>21</v>
      </c>
      <c r="G700" s="3" t="str">
        <f t="shared" si="1"/>
        <v>P3 - Backlog</v>
      </c>
      <c r="H700" s="4" t="s">
        <v>1277</v>
      </c>
    </row>
    <row r="701" ht="15.75" customHeight="1">
      <c r="A701" s="2" t="s">
        <v>1278</v>
      </c>
      <c r="B701" s="2" t="s">
        <v>45</v>
      </c>
      <c r="C701" s="2" t="s">
        <v>36</v>
      </c>
      <c r="D701" s="2" t="s">
        <v>37</v>
      </c>
      <c r="E701" s="2" t="s">
        <v>17</v>
      </c>
      <c r="F701" s="2" t="s">
        <v>21</v>
      </c>
      <c r="G701" s="3" t="str">
        <f t="shared" si="1"/>
        <v>P3 - Backlog</v>
      </c>
      <c r="H701" s="4" t="s">
        <v>1279</v>
      </c>
    </row>
    <row r="702" ht="15.75" customHeight="1">
      <c r="A702" s="2" t="s">
        <v>1280</v>
      </c>
      <c r="B702" s="2" t="s">
        <v>45</v>
      </c>
      <c r="C702" s="2" t="s">
        <v>36</v>
      </c>
      <c r="D702" s="2" t="s">
        <v>37</v>
      </c>
      <c r="E702" s="2" t="s">
        <v>17</v>
      </c>
      <c r="F702" s="2" t="s">
        <v>21</v>
      </c>
      <c r="G702" s="3" t="str">
        <f t="shared" si="1"/>
        <v>P3 - Backlog</v>
      </c>
      <c r="H702" s="4" t="s">
        <v>1281</v>
      </c>
    </row>
    <row r="703" ht="15.75" customHeight="1">
      <c r="A703" s="2" t="s">
        <v>1282</v>
      </c>
      <c r="B703" s="2" t="s">
        <v>45</v>
      </c>
      <c r="C703" s="2" t="s">
        <v>36</v>
      </c>
      <c r="D703" s="2" t="s">
        <v>37</v>
      </c>
      <c r="E703" s="2" t="s">
        <v>17</v>
      </c>
      <c r="F703" s="2" t="s">
        <v>21</v>
      </c>
      <c r="G703" s="3" t="str">
        <f t="shared" si="1"/>
        <v>P3 - Backlog</v>
      </c>
      <c r="H703" s="4" t="s">
        <v>1283</v>
      </c>
    </row>
    <row r="704" ht="15.75" customHeight="1">
      <c r="A704" s="2" t="s">
        <v>1284</v>
      </c>
      <c r="B704" s="2" t="s">
        <v>45</v>
      </c>
      <c r="C704" s="2" t="s">
        <v>36</v>
      </c>
      <c r="D704" s="2" t="s">
        <v>37</v>
      </c>
      <c r="E704" s="2" t="s">
        <v>17</v>
      </c>
      <c r="F704" s="2" t="s">
        <v>21</v>
      </c>
      <c r="G704" s="3" t="str">
        <f t="shared" si="1"/>
        <v>P3 - Backlog</v>
      </c>
      <c r="H704" s="4" t="s">
        <v>1285</v>
      </c>
    </row>
    <row r="705" ht="15.75" customHeight="1">
      <c r="A705" s="2" t="s">
        <v>1286</v>
      </c>
      <c r="B705" s="2" t="s">
        <v>45</v>
      </c>
      <c r="C705" s="2" t="s">
        <v>36</v>
      </c>
      <c r="D705" s="2" t="s">
        <v>37</v>
      </c>
      <c r="E705" s="2" t="s">
        <v>17</v>
      </c>
      <c r="F705" s="2" t="s">
        <v>21</v>
      </c>
      <c r="G705" s="3" t="str">
        <f t="shared" si="1"/>
        <v>P3 - Backlog</v>
      </c>
      <c r="H705" s="4" t="s">
        <v>1287</v>
      </c>
    </row>
    <row r="706" ht="15.75" customHeight="1">
      <c r="A706" s="2" t="s">
        <v>1288</v>
      </c>
      <c r="B706" s="2" t="s">
        <v>45</v>
      </c>
      <c r="C706" s="2" t="s">
        <v>36</v>
      </c>
      <c r="D706" s="2" t="s">
        <v>37</v>
      </c>
      <c r="E706" s="2" t="s">
        <v>17</v>
      </c>
      <c r="F706" s="2" t="s">
        <v>21</v>
      </c>
      <c r="G706" s="3" t="str">
        <f t="shared" si="1"/>
        <v>P3 - Backlog</v>
      </c>
      <c r="H706" s="4" t="s">
        <v>1289</v>
      </c>
    </row>
    <row r="707" ht="15.75" customHeight="1">
      <c r="A707" s="2" t="s">
        <v>1290</v>
      </c>
      <c r="B707" s="2" t="s">
        <v>45</v>
      </c>
      <c r="C707" s="2" t="s">
        <v>36</v>
      </c>
      <c r="D707" s="2" t="s">
        <v>37</v>
      </c>
      <c r="E707" s="2" t="s">
        <v>17</v>
      </c>
      <c r="F707" s="2" t="s">
        <v>21</v>
      </c>
      <c r="G707" s="3" t="str">
        <f t="shared" si="1"/>
        <v>P3 - Backlog</v>
      </c>
      <c r="H707" s="4" t="s">
        <v>1291</v>
      </c>
    </row>
    <row r="708" ht="15.75" customHeight="1">
      <c r="A708" s="2" t="s">
        <v>1292</v>
      </c>
      <c r="B708" s="2" t="s">
        <v>45</v>
      </c>
      <c r="C708" s="2" t="s">
        <v>36</v>
      </c>
      <c r="D708" s="2" t="s">
        <v>37</v>
      </c>
      <c r="E708" s="2" t="s">
        <v>17</v>
      </c>
      <c r="F708" s="2" t="s">
        <v>21</v>
      </c>
      <c r="G708" s="3" t="str">
        <f t="shared" si="1"/>
        <v>P3 - Backlog</v>
      </c>
      <c r="H708" s="4" t="s">
        <v>1293</v>
      </c>
    </row>
    <row r="709" ht="15.75" customHeight="1">
      <c r="A709" s="2" t="s">
        <v>1294</v>
      </c>
      <c r="B709" s="2" t="s">
        <v>45</v>
      </c>
      <c r="C709" s="2" t="s">
        <v>36</v>
      </c>
      <c r="D709" s="2" t="s">
        <v>37</v>
      </c>
      <c r="E709" s="2" t="s">
        <v>17</v>
      </c>
      <c r="F709" s="2" t="s">
        <v>21</v>
      </c>
      <c r="G709" s="3" t="str">
        <f t="shared" si="1"/>
        <v>P3 - Backlog</v>
      </c>
      <c r="H709" s="4" t="s">
        <v>1295</v>
      </c>
    </row>
    <row r="710" ht="15.75" customHeight="1">
      <c r="A710" s="2" t="s">
        <v>1296</v>
      </c>
      <c r="B710" s="2" t="s">
        <v>45</v>
      </c>
      <c r="C710" s="2" t="s">
        <v>36</v>
      </c>
      <c r="D710" s="2" t="s">
        <v>37</v>
      </c>
      <c r="E710" s="2" t="s">
        <v>17</v>
      </c>
      <c r="F710" s="2" t="s">
        <v>21</v>
      </c>
      <c r="G710" s="3" t="str">
        <f t="shared" si="1"/>
        <v>P3 - Backlog</v>
      </c>
      <c r="H710" s="4" t="s">
        <v>1297</v>
      </c>
    </row>
    <row r="711" ht="15.75" customHeight="1">
      <c r="A711" s="2" t="s">
        <v>1298</v>
      </c>
      <c r="B711" s="2" t="s">
        <v>45</v>
      </c>
      <c r="C711" s="2" t="s">
        <v>36</v>
      </c>
      <c r="D711" s="2" t="s">
        <v>37</v>
      </c>
      <c r="E711" s="2" t="s">
        <v>17</v>
      </c>
      <c r="F711" s="2" t="s">
        <v>21</v>
      </c>
      <c r="G711" s="3" t="str">
        <f t="shared" si="1"/>
        <v>P3 - Backlog</v>
      </c>
      <c r="H711" s="4" t="s">
        <v>1299</v>
      </c>
    </row>
    <row r="712" ht="15.75" customHeight="1">
      <c r="A712" s="2" t="s">
        <v>1300</v>
      </c>
      <c r="B712" s="2" t="s">
        <v>45</v>
      </c>
      <c r="C712" s="2" t="s">
        <v>36</v>
      </c>
      <c r="D712" s="2" t="s">
        <v>37</v>
      </c>
      <c r="E712" s="2" t="s">
        <v>17</v>
      </c>
      <c r="F712" s="2" t="s">
        <v>21</v>
      </c>
      <c r="G712" s="3" t="str">
        <f t="shared" si="1"/>
        <v>P3 - Backlog</v>
      </c>
      <c r="H712" s="4" t="s">
        <v>1301</v>
      </c>
    </row>
    <row r="713" ht="15.75" customHeight="1">
      <c r="A713" s="2" t="s">
        <v>1302</v>
      </c>
      <c r="B713" s="2" t="s">
        <v>45</v>
      </c>
      <c r="C713" s="2" t="s">
        <v>36</v>
      </c>
      <c r="D713" s="2" t="s">
        <v>37</v>
      </c>
      <c r="E713" s="2" t="s">
        <v>17</v>
      </c>
      <c r="F713" s="2" t="s">
        <v>21</v>
      </c>
      <c r="G713" s="3" t="str">
        <f t="shared" si="1"/>
        <v>P3 - Backlog</v>
      </c>
      <c r="H713" s="4" t="s">
        <v>1303</v>
      </c>
    </row>
    <row r="714" ht="15.75" customHeight="1">
      <c r="A714" s="2" t="s">
        <v>1304</v>
      </c>
      <c r="B714" s="2" t="s">
        <v>45</v>
      </c>
      <c r="C714" s="2" t="s">
        <v>36</v>
      </c>
      <c r="D714" s="2" t="s">
        <v>37</v>
      </c>
      <c r="E714" s="2" t="s">
        <v>17</v>
      </c>
      <c r="F714" s="2" t="s">
        <v>21</v>
      </c>
      <c r="G714" s="3" t="str">
        <f t="shared" si="1"/>
        <v>P3 - Backlog</v>
      </c>
      <c r="H714" s="4" t="s">
        <v>1305</v>
      </c>
    </row>
    <row r="715" ht="15.75" customHeight="1">
      <c r="A715" s="2" t="s">
        <v>1306</v>
      </c>
      <c r="B715" s="2" t="s">
        <v>45</v>
      </c>
      <c r="C715" s="2" t="s">
        <v>36</v>
      </c>
      <c r="D715" s="2" t="s">
        <v>37</v>
      </c>
      <c r="E715" s="2" t="s">
        <v>17</v>
      </c>
      <c r="F715" s="2" t="s">
        <v>21</v>
      </c>
      <c r="G715" s="3" t="str">
        <f t="shared" si="1"/>
        <v>P3 - Backlog</v>
      </c>
      <c r="H715" s="4" t="s">
        <v>1307</v>
      </c>
    </row>
    <row r="716" ht="15.75" customHeight="1">
      <c r="A716" s="2" t="s">
        <v>1308</v>
      </c>
      <c r="B716" s="2" t="s">
        <v>45</v>
      </c>
      <c r="C716" s="2" t="s">
        <v>36</v>
      </c>
      <c r="D716" s="2" t="s">
        <v>37</v>
      </c>
      <c r="E716" s="2" t="s">
        <v>17</v>
      </c>
      <c r="F716" s="2" t="s">
        <v>21</v>
      </c>
      <c r="G716" s="3" t="str">
        <f t="shared" si="1"/>
        <v>P3 - Backlog</v>
      </c>
      <c r="H716" s="4" t="s">
        <v>1309</v>
      </c>
    </row>
    <row r="717" ht="15.75" customHeight="1">
      <c r="A717" s="2" t="s">
        <v>1310</v>
      </c>
      <c r="B717" s="2" t="s">
        <v>45</v>
      </c>
      <c r="C717" s="2" t="s">
        <v>36</v>
      </c>
      <c r="D717" s="2" t="s">
        <v>37</v>
      </c>
      <c r="E717" s="2" t="s">
        <v>17</v>
      </c>
      <c r="F717" s="2" t="s">
        <v>21</v>
      </c>
      <c r="G717" s="3" t="str">
        <f t="shared" si="1"/>
        <v>P3 - Backlog</v>
      </c>
      <c r="H717" s="4" t="s">
        <v>1311</v>
      </c>
    </row>
    <row r="718" ht="15.75" customHeight="1">
      <c r="A718" s="2" t="s">
        <v>1312</v>
      </c>
      <c r="B718" s="2" t="s">
        <v>45</v>
      </c>
      <c r="C718" s="2" t="s">
        <v>36</v>
      </c>
      <c r="D718" s="2" t="s">
        <v>37</v>
      </c>
      <c r="E718" s="2" t="s">
        <v>17</v>
      </c>
      <c r="F718" s="2" t="s">
        <v>21</v>
      </c>
      <c r="G718" s="3" t="str">
        <f t="shared" si="1"/>
        <v>P3 - Backlog</v>
      </c>
      <c r="H718" s="4" t="s">
        <v>1313</v>
      </c>
    </row>
    <row r="719" ht="15.75" customHeight="1">
      <c r="A719" s="2" t="s">
        <v>1314</v>
      </c>
      <c r="B719" s="2" t="s">
        <v>45</v>
      </c>
      <c r="C719" s="2" t="s">
        <v>36</v>
      </c>
      <c r="D719" s="2" t="s">
        <v>37</v>
      </c>
      <c r="E719" s="2" t="s">
        <v>17</v>
      </c>
      <c r="F719" s="2" t="s">
        <v>21</v>
      </c>
      <c r="G719" s="3" t="str">
        <f t="shared" si="1"/>
        <v>P3 - Backlog</v>
      </c>
      <c r="H719" s="4" t="s">
        <v>1315</v>
      </c>
    </row>
    <row r="720" ht="15.75" customHeight="1">
      <c r="A720" s="2" t="s">
        <v>1316</v>
      </c>
      <c r="B720" s="2" t="s">
        <v>45</v>
      </c>
      <c r="C720" s="2" t="s">
        <v>36</v>
      </c>
      <c r="D720" s="2" t="s">
        <v>37</v>
      </c>
      <c r="E720" s="2" t="s">
        <v>17</v>
      </c>
      <c r="F720" s="2" t="s">
        <v>21</v>
      </c>
      <c r="G720" s="3" t="str">
        <f t="shared" si="1"/>
        <v>P3 - Backlog</v>
      </c>
      <c r="H720" s="4" t="s">
        <v>1317</v>
      </c>
    </row>
    <row r="721" ht="15.75" customHeight="1">
      <c r="A721" s="2" t="s">
        <v>1318</v>
      </c>
      <c r="B721" s="2" t="s">
        <v>45</v>
      </c>
      <c r="C721" s="2" t="s">
        <v>36</v>
      </c>
      <c r="D721" s="2" t="s">
        <v>37</v>
      </c>
      <c r="E721" s="2" t="s">
        <v>17</v>
      </c>
      <c r="F721" s="2" t="s">
        <v>21</v>
      </c>
      <c r="G721" s="3" t="str">
        <f t="shared" si="1"/>
        <v>P3 - Backlog</v>
      </c>
      <c r="H721" s="4" t="s">
        <v>1319</v>
      </c>
    </row>
    <row r="722" ht="15.75" customHeight="1">
      <c r="A722" s="2" t="s">
        <v>1320</v>
      </c>
      <c r="B722" s="2" t="s">
        <v>45</v>
      </c>
      <c r="C722" s="2" t="s">
        <v>36</v>
      </c>
      <c r="D722" s="2" t="s">
        <v>37</v>
      </c>
      <c r="E722" s="2" t="s">
        <v>17</v>
      </c>
      <c r="F722" s="2" t="s">
        <v>21</v>
      </c>
      <c r="G722" s="3" t="str">
        <f t="shared" si="1"/>
        <v>P3 - Backlog</v>
      </c>
      <c r="H722" s="4" t="s">
        <v>1321</v>
      </c>
    </row>
    <row r="723" ht="15.75" customHeight="1">
      <c r="A723" s="2" t="s">
        <v>1322</v>
      </c>
      <c r="B723" s="2" t="s">
        <v>45</v>
      </c>
      <c r="C723" s="2" t="s">
        <v>36</v>
      </c>
      <c r="D723" s="2" t="s">
        <v>37</v>
      </c>
      <c r="E723" s="2" t="s">
        <v>17</v>
      </c>
      <c r="F723" s="2" t="s">
        <v>21</v>
      </c>
      <c r="G723" s="3" t="str">
        <f t="shared" si="1"/>
        <v>P3 - Backlog</v>
      </c>
      <c r="H723" s="4" t="s">
        <v>1323</v>
      </c>
    </row>
    <row r="724" ht="15.75" customHeight="1">
      <c r="A724" s="2" t="s">
        <v>1324</v>
      </c>
      <c r="B724" s="2" t="s">
        <v>45</v>
      </c>
      <c r="C724" s="2" t="s">
        <v>36</v>
      </c>
      <c r="D724" s="2" t="s">
        <v>37</v>
      </c>
      <c r="E724" s="2" t="s">
        <v>17</v>
      </c>
      <c r="F724" s="2" t="s">
        <v>21</v>
      </c>
      <c r="G724" s="3" t="str">
        <f t="shared" si="1"/>
        <v>P3 - Backlog</v>
      </c>
      <c r="H724" s="4" t="s">
        <v>1325</v>
      </c>
    </row>
    <row r="725" ht="15.75" customHeight="1">
      <c r="A725" s="2" t="s">
        <v>1326</v>
      </c>
      <c r="B725" s="2" t="s">
        <v>45</v>
      </c>
      <c r="C725" s="2" t="s">
        <v>36</v>
      </c>
      <c r="D725" s="2" t="s">
        <v>37</v>
      </c>
      <c r="E725" s="2" t="s">
        <v>17</v>
      </c>
      <c r="F725" s="2" t="s">
        <v>21</v>
      </c>
      <c r="G725" s="3" t="str">
        <f t="shared" si="1"/>
        <v>P3 - Backlog</v>
      </c>
      <c r="H725" s="4" t="s">
        <v>1327</v>
      </c>
    </row>
    <row r="726" ht="15.75" customHeight="1">
      <c r="A726" s="2" t="s">
        <v>1328</v>
      </c>
      <c r="B726" s="2" t="s">
        <v>45</v>
      </c>
      <c r="C726" s="2" t="s">
        <v>36</v>
      </c>
      <c r="D726" s="2" t="s">
        <v>37</v>
      </c>
      <c r="E726" s="2" t="s">
        <v>17</v>
      </c>
      <c r="F726" s="2" t="s">
        <v>21</v>
      </c>
      <c r="G726" s="3" t="str">
        <f t="shared" si="1"/>
        <v>P3 - Backlog</v>
      </c>
      <c r="H726" s="4" t="s">
        <v>1329</v>
      </c>
    </row>
    <row r="727" ht="15.75" customHeight="1">
      <c r="A727" s="2" t="s">
        <v>1330</v>
      </c>
      <c r="B727" s="2" t="s">
        <v>45</v>
      </c>
      <c r="C727" s="2" t="s">
        <v>36</v>
      </c>
      <c r="D727" s="2" t="s">
        <v>37</v>
      </c>
      <c r="E727" s="2" t="s">
        <v>17</v>
      </c>
      <c r="F727" s="2" t="s">
        <v>21</v>
      </c>
      <c r="G727" s="3" t="str">
        <f t="shared" si="1"/>
        <v>P3 - Backlog</v>
      </c>
      <c r="H727" s="4" t="s">
        <v>1331</v>
      </c>
    </row>
    <row r="728" ht="15.75" customHeight="1">
      <c r="A728" s="2" t="s">
        <v>1332</v>
      </c>
      <c r="B728" s="2" t="s">
        <v>45</v>
      </c>
      <c r="C728" s="2" t="s">
        <v>36</v>
      </c>
      <c r="D728" s="2" t="s">
        <v>37</v>
      </c>
      <c r="E728" s="2" t="s">
        <v>17</v>
      </c>
      <c r="F728" s="2" t="s">
        <v>21</v>
      </c>
      <c r="G728" s="3" t="str">
        <f t="shared" si="1"/>
        <v>P3 - Backlog</v>
      </c>
      <c r="H728" s="4" t="s">
        <v>1333</v>
      </c>
    </row>
    <row r="729" ht="15.75" customHeight="1">
      <c r="A729" s="2" t="s">
        <v>1334</v>
      </c>
      <c r="B729" s="2" t="s">
        <v>45</v>
      </c>
      <c r="C729" s="2" t="s">
        <v>36</v>
      </c>
      <c r="D729" s="2" t="s">
        <v>37</v>
      </c>
      <c r="E729" s="2" t="s">
        <v>17</v>
      </c>
      <c r="F729" s="2" t="s">
        <v>21</v>
      </c>
      <c r="G729" s="3" t="str">
        <f t="shared" si="1"/>
        <v>P3 - Backlog</v>
      </c>
      <c r="H729" s="4" t="s">
        <v>1335</v>
      </c>
    </row>
    <row r="730" ht="15.75" customHeight="1">
      <c r="A730" s="2" t="s">
        <v>1336</v>
      </c>
      <c r="B730" s="2" t="s">
        <v>45</v>
      </c>
      <c r="C730" s="2" t="s">
        <v>36</v>
      </c>
      <c r="D730" s="2" t="s">
        <v>37</v>
      </c>
      <c r="E730" s="2" t="s">
        <v>17</v>
      </c>
      <c r="F730" s="2" t="s">
        <v>21</v>
      </c>
      <c r="G730" s="3" t="str">
        <f t="shared" si="1"/>
        <v>P3 - Backlog</v>
      </c>
      <c r="H730" s="4" t="s">
        <v>1337</v>
      </c>
    </row>
    <row r="731" ht="15.75" customHeight="1">
      <c r="A731" s="2" t="s">
        <v>1338</v>
      </c>
      <c r="B731" s="2" t="s">
        <v>45</v>
      </c>
      <c r="C731" s="2" t="s">
        <v>36</v>
      </c>
      <c r="D731" s="2" t="s">
        <v>37</v>
      </c>
      <c r="E731" s="2" t="s">
        <v>17</v>
      </c>
      <c r="F731" s="2" t="s">
        <v>21</v>
      </c>
      <c r="G731" s="3" t="str">
        <f t="shared" si="1"/>
        <v>P3 - Backlog</v>
      </c>
      <c r="H731" s="4" t="s">
        <v>1339</v>
      </c>
    </row>
    <row r="732" ht="15.75" customHeight="1">
      <c r="A732" s="2" t="s">
        <v>1340</v>
      </c>
      <c r="B732" s="2" t="s">
        <v>45</v>
      </c>
      <c r="C732" s="2" t="s">
        <v>36</v>
      </c>
      <c r="D732" s="2" t="s">
        <v>37</v>
      </c>
      <c r="E732" s="2" t="s">
        <v>17</v>
      </c>
      <c r="F732" s="2" t="s">
        <v>21</v>
      </c>
      <c r="G732" s="3" t="str">
        <f t="shared" si="1"/>
        <v>P3 - Backlog</v>
      </c>
      <c r="H732" s="4" t="s">
        <v>1341</v>
      </c>
    </row>
    <row r="733" ht="15.75" customHeight="1">
      <c r="A733" s="2" t="s">
        <v>1342</v>
      </c>
      <c r="B733" s="2" t="s">
        <v>45</v>
      </c>
      <c r="C733" s="2" t="s">
        <v>36</v>
      </c>
      <c r="D733" s="2" t="s">
        <v>37</v>
      </c>
      <c r="E733" s="2" t="s">
        <v>17</v>
      </c>
      <c r="F733" s="2" t="s">
        <v>21</v>
      </c>
      <c r="G733" s="3" t="str">
        <f t="shared" si="1"/>
        <v>P3 - Backlog</v>
      </c>
      <c r="H733" s="4" t="s">
        <v>1343</v>
      </c>
    </row>
    <row r="734" ht="15.75" customHeight="1">
      <c r="A734" s="2" t="s">
        <v>1344</v>
      </c>
      <c r="B734" s="2" t="s">
        <v>45</v>
      </c>
      <c r="C734" s="2" t="s">
        <v>36</v>
      </c>
      <c r="D734" s="2" t="s">
        <v>37</v>
      </c>
      <c r="E734" s="2" t="s">
        <v>17</v>
      </c>
      <c r="F734" s="2" t="s">
        <v>21</v>
      </c>
      <c r="G734" s="3" t="str">
        <f t="shared" si="1"/>
        <v>P3 - Backlog</v>
      </c>
      <c r="H734" s="4" t="s">
        <v>1345</v>
      </c>
    </row>
    <row r="735" ht="15.75" customHeight="1">
      <c r="A735" s="2" t="s">
        <v>1346</v>
      </c>
      <c r="B735" s="2" t="s">
        <v>45</v>
      </c>
      <c r="C735" s="2" t="s">
        <v>36</v>
      </c>
      <c r="D735" s="2" t="s">
        <v>37</v>
      </c>
      <c r="E735" s="2" t="s">
        <v>17</v>
      </c>
      <c r="F735" s="2" t="s">
        <v>21</v>
      </c>
      <c r="G735" s="3" t="str">
        <f t="shared" si="1"/>
        <v>P3 - Backlog</v>
      </c>
      <c r="H735" s="4" t="s">
        <v>1347</v>
      </c>
    </row>
    <row r="736" ht="15.75" customHeight="1">
      <c r="A736" s="2" t="s">
        <v>1348</v>
      </c>
      <c r="B736" s="2" t="s">
        <v>45</v>
      </c>
      <c r="C736" s="2" t="s">
        <v>36</v>
      </c>
      <c r="D736" s="2" t="s">
        <v>37</v>
      </c>
      <c r="E736" s="2" t="s">
        <v>17</v>
      </c>
      <c r="F736" s="2" t="s">
        <v>21</v>
      </c>
      <c r="G736" s="3" t="str">
        <f t="shared" si="1"/>
        <v>P3 - Backlog</v>
      </c>
      <c r="H736" s="4" t="s">
        <v>1349</v>
      </c>
    </row>
    <row r="737" ht="15.75" customHeight="1">
      <c r="A737" s="2" t="s">
        <v>1350</v>
      </c>
      <c r="B737" s="2" t="s">
        <v>45</v>
      </c>
      <c r="C737" s="2" t="s">
        <v>36</v>
      </c>
      <c r="D737" s="2" t="s">
        <v>37</v>
      </c>
      <c r="E737" s="2" t="s">
        <v>17</v>
      </c>
      <c r="F737" s="2" t="s">
        <v>21</v>
      </c>
      <c r="G737" s="3" t="str">
        <f t="shared" si="1"/>
        <v>P3 - Backlog</v>
      </c>
      <c r="H737" s="4" t="s">
        <v>1351</v>
      </c>
    </row>
    <row r="738" ht="15.75" customHeight="1">
      <c r="A738" s="2" t="s">
        <v>1352</v>
      </c>
      <c r="B738" s="2" t="s">
        <v>45</v>
      </c>
      <c r="C738" s="2" t="s">
        <v>36</v>
      </c>
      <c r="D738" s="2" t="s">
        <v>37</v>
      </c>
      <c r="E738" s="2" t="s">
        <v>17</v>
      </c>
      <c r="F738" s="2" t="s">
        <v>21</v>
      </c>
      <c r="G738" s="3" t="str">
        <f t="shared" si="1"/>
        <v>P3 - Backlog</v>
      </c>
      <c r="H738" s="4" t="s">
        <v>1353</v>
      </c>
    </row>
    <row r="739" ht="15.75" customHeight="1">
      <c r="A739" s="2" t="s">
        <v>1354</v>
      </c>
      <c r="B739" s="2" t="s">
        <v>45</v>
      </c>
      <c r="C739" s="2" t="s">
        <v>36</v>
      </c>
      <c r="D739" s="2" t="s">
        <v>37</v>
      </c>
      <c r="E739" s="2" t="s">
        <v>17</v>
      </c>
      <c r="F739" s="2" t="s">
        <v>21</v>
      </c>
      <c r="G739" s="3" t="str">
        <f t="shared" si="1"/>
        <v>P3 - Backlog</v>
      </c>
      <c r="H739" s="4" t="s">
        <v>1355</v>
      </c>
    </row>
    <row r="740" ht="15.75" customHeight="1">
      <c r="A740" s="2" t="s">
        <v>1356</v>
      </c>
      <c r="B740" s="2" t="s">
        <v>45</v>
      </c>
      <c r="C740" s="2" t="s">
        <v>36</v>
      </c>
      <c r="D740" s="2" t="s">
        <v>37</v>
      </c>
      <c r="E740" s="2" t="s">
        <v>17</v>
      </c>
      <c r="F740" s="2" t="s">
        <v>21</v>
      </c>
      <c r="G740" s="3" t="str">
        <f t="shared" si="1"/>
        <v>P3 - Backlog</v>
      </c>
      <c r="H740" s="4" t="s">
        <v>1357</v>
      </c>
    </row>
    <row r="741" ht="15.75" customHeight="1">
      <c r="A741" s="2" t="s">
        <v>1358</v>
      </c>
      <c r="B741" s="2" t="s">
        <v>45</v>
      </c>
      <c r="C741" s="2" t="s">
        <v>36</v>
      </c>
      <c r="D741" s="2" t="s">
        <v>37</v>
      </c>
      <c r="E741" s="2" t="s">
        <v>17</v>
      </c>
      <c r="F741" s="2" t="s">
        <v>21</v>
      </c>
      <c r="G741" s="3" t="str">
        <f t="shared" si="1"/>
        <v>P3 - Backlog</v>
      </c>
      <c r="H741" s="4" t="s">
        <v>1359</v>
      </c>
    </row>
    <row r="742" ht="15.75" customHeight="1">
      <c r="A742" s="2" t="s">
        <v>1360</v>
      </c>
      <c r="B742" s="2" t="s">
        <v>517</v>
      </c>
      <c r="C742" s="2" t="s">
        <v>36</v>
      </c>
      <c r="D742" s="2" t="s">
        <v>37</v>
      </c>
      <c r="E742" s="2" t="s">
        <v>17</v>
      </c>
      <c r="F742" s="2" t="s">
        <v>21</v>
      </c>
      <c r="G742" s="3" t="str">
        <f t="shared" si="1"/>
        <v>P3 - Backlog</v>
      </c>
      <c r="H742" s="4" t="s">
        <v>1361</v>
      </c>
    </row>
    <row r="743" ht="15.75" customHeight="1">
      <c r="A743" s="2" t="s">
        <v>1360</v>
      </c>
      <c r="B743" s="2" t="s">
        <v>519</v>
      </c>
      <c r="C743" s="2" t="s">
        <v>36</v>
      </c>
      <c r="D743" s="2" t="s">
        <v>37</v>
      </c>
      <c r="E743" s="2" t="s">
        <v>17</v>
      </c>
      <c r="F743" s="2" t="s">
        <v>21</v>
      </c>
      <c r="G743" s="3" t="str">
        <f t="shared" si="1"/>
        <v>P3 - Backlog</v>
      </c>
      <c r="H743" s="4" t="s">
        <v>1361</v>
      </c>
    </row>
    <row r="744" ht="15.75" customHeight="1">
      <c r="A744" s="2" t="s">
        <v>1360</v>
      </c>
      <c r="B744" s="2" t="s">
        <v>520</v>
      </c>
      <c r="C744" s="2" t="s">
        <v>36</v>
      </c>
      <c r="D744" s="2" t="s">
        <v>37</v>
      </c>
      <c r="E744" s="2" t="s">
        <v>17</v>
      </c>
      <c r="F744" s="2" t="s">
        <v>21</v>
      </c>
      <c r="G744" s="3" t="str">
        <f t="shared" si="1"/>
        <v>P3 - Backlog</v>
      </c>
      <c r="H744" s="4" t="s">
        <v>1361</v>
      </c>
    </row>
    <row r="745" ht="15.75" customHeight="1">
      <c r="A745" s="2" t="s">
        <v>1360</v>
      </c>
      <c r="B745" s="2" t="s">
        <v>521</v>
      </c>
      <c r="C745" s="2" t="s">
        <v>36</v>
      </c>
      <c r="D745" s="2" t="s">
        <v>37</v>
      </c>
      <c r="E745" s="2" t="s">
        <v>17</v>
      </c>
      <c r="F745" s="2" t="s">
        <v>21</v>
      </c>
      <c r="G745" s="3" t="str">
        <f t="shared" si="1"/>
        <v>P3 - Backlog</v>
      </c>
      <c r="H745" s="4" t="s">
        <v>1361</v>
      </c>
    </row>
    <row r="746" ht="15.75" customHeight="1">
      <c r="A746" s="2" t="s">
        <v>1362</v>
      </c>
      <c r="B746" s="2" t="s">
        <v>1363</v>
      </c>
      <c r="C746" s="2" t="s">
        <v>36</v>
      </c>
      <c r="D746" s="2" t="s">
        <v>37</v>
      </c>
      <c r="E746" s="2" t="s">
        <v>17</v>
      </c>
      <c r="F746" s="2" t="s">
        <v>21</v>
      </c>
      <c r="G746" s="3" t="str">
        <f t="shared" si="1"/>
        <v>P3 - Backlog</v>
      </c>
      <c r="H746" s="4" t="s">
        <v>1364</v>
      </c>
    </row>
    <row r="747" ht="15.75" customHeight="1">
      <c r="A747" s="2" t="s">
        <v>1362</v>
      </c>
      <c r="B747" s="2" t="s">
        <v>1365</v>
      </c>
      <c r="C747" s="2" t="s">
        <v>36</v>
      </c>
      <c r="D747" s="2" t="s">
        <v>37</v>
      </c>
      <c r="E747" s="2" t="s">
        <v>17</v>
      </c>
      <c r="F747" s="2" t="s">
        <v>21</v>
      </c>
      <c r="G747" s="3" t="str">
        <f t="shared" si="1"/>
        <v>P3 - Backlog</v>
      </c>
      <c r="H747" s="4" t="s">
        <v>1364</v>
      </c>
    </row>
    <row r="748" ht="15.75" customHeight="1">
      <c r="A748" s="2" t="s">
        <v>1366</v>
      </c>
      <c r="B748" s="2" t="s">
        <v>9</v>
      </c>
      <c r="C748" s="2" t="s">
        <v>10</v>
      </c>
      <c r="D748" s="2" t="s">
        <v>11</v>
      </c>
      <c r="E748" s="2" t="s">
        <v>1367</v>
      </c>
      <c r="F748" s="2" t="s">
        <v>21</v>
      </c>
      <c r="G748" s="3" t="str">
        <f t="shared" si="1"/>
        <v>P3 - Backlog</v>
      </c>
      <c r="H748" s="4" t="s">
        <v>1368</v>
      </c>
    </row>
    <row r="749" ht="15.75" customHeight="1">
      <c r="A749" s="2" t="s">
        <v>1369</v>
      </c>
      <c r="B749" s="2" t="s">
        <v>45</v>
      </c>
      <c r="C749" s="2" t="s">
        <v>36</v>
      </c>
      <c r="D749" s="2" t="s">
        <v>37</v>
      </c>
      <c r="E749" s="2" t="s">
        <v>1367</v>
      </c>
      <c r="F749" s="2" t="s">
        <v>21</v>
      </c>
      <c r="G749" s="3" t="str">
        <f t="shared" si="1"/>
        <v>P3 - Backlog</v>
      </c>
      <c r="H749" s="4" t="s">
        <v>1370</v>
      </c>
    </row>
    <row r="750" ht="15.75" customHeight="1">
      <c r="A750" s="2" t="s">
        <v>1371</v>
      </c>
      <c r="B750" s="2" t="s">
        <v>45</v>
      </c>
      <c r="C750" s="2" t="s">
        <v>36</v>
      </c>
      <c r="D750" s="2" t="s">
        <v>37</v>
      </c>
      <c r="E750" s="2" t="s">
        <v>1367</v>
      </c>
      <c r="F750" s="2" t="s">
        <v>21</v>
      </c>
      <c r="G750" s="3" t="str">
        <f t="shared" si="1"/>
        <v>P3 - Backlog</v>
      </c>
      <c r="H750" s="4" t="s">
        <v>1372</v>
      </c>
    </row>
    <row r="751" ht="15.75" customHeight="1">
      <c r="A751" s="2" t="s">
        <v>1373</v>
      </c>
      <c r="B751" s="2" t="s">
        <v>1374</v>
      </c>
      <c r="C751" s="2" t="s">
        <v>36</v>
      </c>
      <c r="D751" s="2" t="s">
        <v>37</v>
      </c>
      <c r="E751" s="2" t="s">
        <v>1367</v>
      </c>
      <c r="F751" s="2" t="s">
        <v>21</v>
      </c>
      <c r="G751" s="3" t="str">
        <f t="shared" si="1"/>
        <v>P3 - Backlog</v>
      </c>
      <c r="H751" s="4" t="s">
        <v>1375</v>
      </c>
    </row>
    <row r="752" ht="15.75" customHeight="1">
      <c r="A752" s="2" t="s">
        <v>1373</v>
      </c>
      <c r="B752" s="2" t="s">
        <v>1376</v>
      </c>
      <c r="C752" s="2" t="s">
        <v>36</v>
      </c>
      <c r="D752" s="2" t="s">
        <v>37</v>
      </c>
      <c r="E752" s="2" t="s">
        <v>1367</v>
      </c>
      <c r="F752" s="2" t="s">
        <v>21</v>
      </c>
      <c r="G752" s="3" t="str">
        <f t="shared" si="1"/>
        <v>P3 - Backlog</v>
      </c>
      <c r="H752" s="4" t="s">
        <v>1375</v>
      </c>
    </row>
    <row r="753" ht="15.75" customHeight="1">
      <c r="A753" s="2" t="s">
        <v>1373</v>
      </c>
      <c r="B753" s="2" t="s">
        <v>1377</v>
      </c>
      <c r="C753" s="2" t="s">
        <v>36</v>
      </c>
      <c r="D753" s="2" t="s">
        <v>37</v>
      </c>
      <c r="E753" s="2" t="s">
        <v>1367</v>
      </c>
      <c r="F753" s="2" t="s">
        <v>21</v>
      </c>
      <c r="G753" s="3" t="str">
        <f t="shared" si="1"/>
        <v>P3 - Backlog</v>
      </c>
      <c r="H753" s="4" t="s">
        <v>1375</v>
      </c>
    </row>
    <row r="754" ht="15.75" customHeight="1">
      <c r="A754" s="2" t="s">
        <v>1378</v>
      </c>
      <c r="B754" s="2" t="s">
        <v>1374</v>
      </c>
      <c r="C754" s="2" t="s">
        <v>36</v>
      </c>
      <c r="D754" s="2" t="s">
        <v>37</v>
      </c>
      <c r="E754" s="2" t="s">
        <v>1367</v>
      </c>
      <c r="F754" s="2" t="s">
        <v>21</v>
      </c>
      <c r="G754" s="3" t="str">
        <f t="shared" si="1"/>
        <v>P3 - Backlog</v>
      </c>
      <c r="H754" s="4" t="s">
        <v>1379</v>
      </c>
    </row>
    <row r="755" ht="15.75" customHeight="1">
      <c r="A755" s="2" t="s">
        <v>1378</v>
      </c>
      <c r="B755" s="2" t="s">
        <v>1376</v>
      </c>
      <c r="C755" s="2" t="s">
        <v>36</v>
      </c>
      <c r="D755" s="2" t="s">
        <v>37</v>
      </c>
      <c r="E755" s="2" t="s">
        <v>1367</v>
      </c>
      <c r="F755" s="2" t="s">
        <v>21</v>
      </c>
      <c r="G755" s="3" t="str">
        <f t="shared" si="1"/>
        <v>P3 - Backlog</v>
      </c>
      <c r="H755" s="4" t="s">
        <v>1379</v>
      </c>
    </row>
    <row r="756" ht="15.75" customHeight="1">
      <c r="A756" s="2" t="s">
        <v>1378</v>
      </c>
      <c r="B756" s="2" t="s">
        <v>1377</v>
      </c>
      <c r="C756" s="2" t="s">
        <v>36</v>
      </c>
      <c r="D756" s="2" t="s">
        <v>37</v>
      </c>
      <c r="E756" s="2" t="s">
        <v>1367</v>
      </c>
      <c r="F756" s="2" t="s">
        <v>21</v>
      </c>
      <c r="G756" s="3" t="str">
        <f t="shared" si="1"/>
        <v>P3 - Backlog</v>
      </c>
      <c r="H756" s="4" t="s">
        <v>1379</v>
      </c>
    </row>
    <row r="757" ht="15.75" customHeight="1">
      <c r="A757" s="2" t="s">
        <v>1380</v>
      </c>
      <c r="B757" s="2" t="s">
        <v>45</v>
      </c>
      <c r="C757" s="2" t="s">
        <v>36</v>
      </c>
      <c r="D757" s="2" t="s">
        <v>37</v>
      </c>
      <c r="E757" s="2" t="s">
        <v>1367</v>
      </c>
      <c r="F757" s="2" t="s">
        <v>21</v>
      </c>
      <c r="G757" s="3" t="str">
        <f t="shared" si="1"/>
        <v>P3 - Backlog</v>
      </c>
      <c r="H757" s="4" t="s">
        <v>1381</v>
      </c>
    </row>
    <row r="758" ht="15.75" customHeight="1">
      <c r="A758" s="2" t="s">
        <v>1382</v>
      </c>
      <c r="B758" s="2" t="s">
        <v>1383</v>
      </c>
      <c r="C758" s="2" t="s">
        <v>36</v>
      </c>
      <c r="D758" s="2" t="s">
        <v>37</v>
      </c>
      <c r="E758" s="2" t="s">
        <v>1367</v>
      </c>
      <c r="F758" s="2" t="s">
        <v>21</v>
      </c>
      <c r="G758" s="3" t="str">
        <f t="shared" si="1"/>
        <v>P3 - Backlog</v>
      </c>
      <c r="H758" s="4" t="s">
        <v>1384</v>
      </c>
    </row>
    <row r="759" ht="15.75" customHeight="1">
      <c r="A759" s="2" t="s">
        <v>1382</v>
      </c>
      <c r="B759" s="2" t="s">
        <v>1385</v>
      </c>
      <c r="C759" s="2" t="s">
        <v>36</v>
      </c>
      <c r="D759" s="2" t="s">
        <v>37</v>
      </c>
      <c r="E759" s="2" t="s">
        <v>1367</v>
      </c>
      <c r="F759" s="2" t="s">
        <v>21</v>
      </c>
      <c r="G759" s="3" t="str">
        <f t="shared" si="1"/>
        <v>P3 - Backlog</v>
      </c>
      <c r="H759" s="4" t="s">
        <v>1384</v>
      </c>
    </row>
    <row r="760" ht="15.75" customHeight="1">
      <c r="A760" s="2" t="s">
        <v>1386</v>
      </c>
      <c r="B760" s="2" t="s">
        <v>1033</v>
      </c>
      <c r="C760" s="2" t="s">
        <v>36</v>
      </c>
      <c r="D760" s="2" t="s">
        <v>37</v>
      </c>
      <c r="E760" s="2" t="s">
        <v>1367</v>
      </c>
      <c r="F760" s="2" t="s">
        <v>21</v>
      </c>
      <c r="G760" s="3" t="str">
        <f t="shared" si="1"/>
        <v>P3 - Backlog</v>
      </c>
      <c r="H760" s="4" t="s">
        <v>1387</v>
      </c>
    </row>
    <row r="761" ht="15.75" customHeight="1">
      <c r="A761" s="2" t="s">
        <v>1386</v>
      </c>
      <c r="B761" s="2" t="s">
        <v>1035</v>
      </c>
      <c r="C761" s="2" t="s">
        <v>36</v>
      </c>
      <c r="D761" s="2" t="s">
        <v>37</v>
      </c>
      <c r="E761" s="2" t="s">
        <v>1367</v>
      </c>
      <c r="F761" s="2" t="s">
        <v>21</v>
      </c>
      <c r="G761" s="3" t="str">
        <f t="shared" si="1"/>
        <v>P3 - Backlog</v>
      </c>
      <c r="H761" s="4" t="s">
        <v>1387</v>
      </c>
    </row>
    <row r="762" ht="15.75" customHeight="1">
      <c r="A762" s="2" t="s">
        <v>1388</v>
      </c>
      <c r="B762" s="2" t="s">
        <v>1070</v>
      </c>
      <c r="C762" s="2" t="s">
        <v>36</v>
      </c>
      <c r="D762" s="2" t="s">
        <v>37</v>
      </c>
      <c r="E762" s="2" t="s">
        <v>1367</v>
      </c>
      <c r="F762" s="2" t="s">
        <v>21</v>
      </c>
      <c r="G762" s="3" t="str">
        <f t="shared" si="1"/>
        <v>P3 - Backlog</v>
      </c>
      <c r="H762" s="4" t="s">
        <v>1389</v>
      </c>
    </row>
    <row r="763" ht="15.75" customHeight="1">
      <c r="A763" s="2" t="s">
        <v>1388</v>
      </c>
      <c r="B763" s="2" t="s">
        <v>1072</v>
      </c>
      <c r="C763" s="2" t="s">
        <v>36</v>
      </c>
      <c r="D763" s="2" t="s">
        <v>37</v>
      </c>
      <c r="E763" s="2" t="s">
        <v>1367</v>
      </c>
      <c r="F763" s="2" t="s">
        <v>21</v>
      </c>
      <c r="G763" s="3" t="str">
        <f t="shared" si="1"/>
        <v>P3 - Backlog</v>
      </c>
      <c r="H763" s="4" t="s">
        <v>1389</v>
      </c>
    </row>
    <row r="764" ht="15.75" customHeight="1">
      <c r="A764" s="2" t="s">
        <v>1388</v>
      </c>
      <c r="B764" s="2" t="s">
        <v>1073</v>
      </c>
      <c r="C764" s="2" t="s">
        <v>36</v>
      </c>
      <c r="D764" s="2" t="s">
        <v>37</v>
      </c>
      <c r="E764" s="2" t="s">
        <v>1367</v>
      </c>
      <c r="F764" s="2" t="s">
        <v>21</v>
      </c>
      <c r="G764" s="3" t="str">
        <f t="shared" si="1"/>
        <v>P3 - Backlog</v>
      </c>
      <c r="H764" s="4" t="s">
        <v>1389</v>
      </c>
    </row>
    <row r="765" ht="15.75" customHeight="1">
      <c r="A765" s="2" t="s">
        <v>1388</v>
      </c>
      <c r="B765" s="2" t="s">
        <v>1074</v>
      </c>
      <c r="C765" s="2" t="s">
        <v>36</v>
      </c>
      <c r="D765" s="2" t="s">
        <v>37</v>
      </c>
      <c r="E765" s="2" t="s">
        <v>1367</v>
      </c>
      <c r="F765" s="2" t="s">
        <v>21</v>
      </c>
      <c r="G765" s="3" t="str">
        <f t="shared" si="1"/>
        <v>P3 - Backlog</v>
      </c>
      <c r="H765" s="4" t="s">
        <v>1389</v>
      </c>
    </row>
    <row r="766" ht="15.75" customHeight="1">
      <c r="A766" s="2" t="s">
        <v>1390</v>
      </c>
      <c r="B766" s="2" t="s">
        <v>1033</v>
      </c>
      <c r="C766" s="2" t="s">
        <v>36</v>
      </c>
      <c r="D766" s="2" t="s">
        <v>37</v>
      </c>
      <c r="E766" s="2" t="s">
        <v>1367</v>
      </c>
      <c r="F766" s="2" t="s">
        <v>21</v>
      </c>
      <c r="G766" s="3" t="str">
        <f t="shared" si="1"/>
        <v>P3 - Backlog</v>
      </c>
      <c r="H766" s="4" t="s">
        <v>1391</v>
      </c>
    </row>
    <row r="767" ht="15.75" customHeight="1">
      <c r="A767" s="2" t="s">
        <v>1390</v>
      </c>
      <c r="B767" s="2" t="s">
        <v>1035</v>
      </c>
      <c r="C767" s="2" t="s">
        <v>36</v>
      </c>
      <c r="D767" s="2" t="s">
        <v>37</v>
      </c>
      <c r="E767" s="2" t="s">
        <v>1367</v>
      </c>
      <c r="F767" s="2" t="s">
        <v>21</v>
      </c>
      <c r="G767" s="3" t="str">
        <f t="shared" si="1"/>
        <v>P3 - Backlog</v>
      </c>
      <c r="H767" s="4" t="s">
        <v>1391</v>
      </c>
    </row>
    <row r="768" ht="15.75" customHeight="1">
      <c r="A768" s="2" t="s">
        <v>1392</v>
      </c>
      <c r="B768" s="2" t="s">
        <v>1393</v>
      </c>
      <c r="C768" s="2" t="s">
        <v>36</v>
      </c>
      <c r="D768" s="2" t="s">
        <v>37</v>
      </c>
      <c r="E768" s="2" t="s">
        <v>1367</v>
      </c>
      <c r="F768" s="2" t="s">
        <v>21</v>
      </c>
      <c r="G768" s="3" t="str">
        <f t="shared" si="1"/>
        <v>P3 - Backlog</v>
      </c>
      <c r="H768" s="4" t="s">
        <v>1394</v>
      </c>
    </row>
    <row r="769" ht="15.75" customHeight="1">
      <c r="A769" s="2" t="s">
        <v>1395</v>
      </c>
      <c r="B769" s="2" t="s">
        <v>1396</v>
      </c>
      <c r="C769" s="2" t="s">
        <v>36</v>
      </c>
      <c r="D769" s="2" t="s">
        <v>37</v>
      </c>
      <c r="E769" s="2" t="s">
        <v>1367</v>
      </c>
      <c r="F769" s="2" t="s">
        <v>21</v>
      </c>
      <c r="G769" s="3" t="str">
        <f t="shared" si="1"/>
        <v>P3 - Backlog</v>
      </c>
      <c r="H769" s="4" t="s">
        <v>1397</v>
      </c>
    </row>
    <row r="770" ht="15.75" customHeight="1">
      <c r="A770" s="2" t="s">
        <v>1398</v>
      </c>
      <c r="B770" s="2" t="s">
        <v>1088</v>
      </c>
      <c r="C770" s="2" t="s">
        <v>36</v>
      </c>
      <c r="D770" s="2" t="s">
        <v>37</v>
      </c>
      <c r="E770" s="2" t="s">
        <v>1367</v>
      </c>
      <c r="F770" s="2" t="s">
        <v>21</v>
      </c>
      <c r="G770" s="3" t="str">
        <f t="shared" si="1"/>
        <v>P3 - Backlog</v>
      </c>
      <c r="H770" s="4" t="s">
        <v>1399</v>
      </c>
    </row>
    <row r="771" ht="15.75" customHeight="1">
      <c r="A771" s="2" t="s">
        <v>1398</v>
      </c>
      <c r="B771" s="2" t="s">
        <v>1090</v>
      </c>
      <c r="C771" s="2" t="s">
        <v>36</v>
      </c>
      <c r="D771" s="2" t="s">
        <v>37</v>
      </c>
      <c r="E771" s="2" t="s">
        <v>1367</v>
      </c>
      <c r="F771" s="2" t="s">
        <v>21</v>
      </c>
      <c r="G771" s="3" t="str">
        <f t="shared" si="1"/>
        <v>P3 - Backlog</v>
      </c>
      <c r="H771" s="4" t="s">
        <v>1399</v>
      </c>
    </row>
    <row r="772" ht="15.75" customHeight="1">
      <c r="A772" s="2" t="s">
        <v>1398</v>
      </c>
      <c r="B772" s="2" t="s">
        <v>1091</v>
      </c>
      <c r="C772" s="2" t="s">
        <v>36</v>
      </c>
      <c r="D772" s="2" t="s">
        <v>37</v>
      </c>
      <c r="E772" s="2" t="s">
        <v>1367</v>
      </c>
      <c r="F772" s="2" t="s">
        <v>21</v>
      </c>
      <c r="G772" s="3" t="str">
        <f t="shared" si="1"/>
        <v>P3 - Backlog</v>
      </c>
      <c r="H772" s="4" t="s">
        <v>1399</v>
      </c>
    </row>
    <row r="773" ht="15.75" customHeight="1">
      <c r="A773" s="2" t="s">
        <v>1398</v>
      </c>
      <c r="B773" s="2" t="s">
        <v>1092</v>
      </c>
      <c r="C773" s="2" t="s">
        <v>36</v>
      </c>
      <c r="D773" s="2" t="s">
        <v>37</v>
      </c>
      <c r="E773" s="2" t="s">
        <v>1367</v>
      </c>
      <c r="F773" s="2" t="s">
        <v>21</v>
      </c>
      <c r="G773" s="3" t="str">
        <f t="shared" si="1"/>
        <v>P3 - Backlog</v>
      </c>
      <c r="H773" s="4" t="s">
        <v>1399</v>
      </c>
    </row>
    <row r="774" ht="15.75" customHeight="1">
      <c r="A774" s="2" t="s">
        <v>1398</v>
      </c>
      <c r="B774" s="2" t="s">
        <v>1093</v>
      </c>
      <c r="C774" s="2" t="s">
        <v>36</v>
      </c>
      <c r="D774" s="2" t="s">
        <v>37</v>
      </c>
      <c r="E774" s="2" t="s">
        <v>1367</v>
      </c>
      <c r="F774" s="2" t="s">
        <v>21</v>
      </c>
      <c r="G774" s="3" t="str">
        <f t="shared" si="1"/>
        <v>P3 - Backlog</v>
      </c>
      <c r="H774" s="4" t="s">
        <v>1399</v>
      </c>
    </row>
    <row r="775" ht="15.75" customHeight="1">
      <c r="A775" s="2" t="s">
        <v>1398</v>
      </c>
      <c r="B775" s="2" t="s">
        <v>1094</v>
      </c>
      <c r="C775" s="2" t="s">
        <v>36</v>
      </c>
      <c r="D775" s="2" t="s">
        <v>37</v>
      </c>
      <c r="E775" s="2" t="s">
        <v>1367</v>
      </c>
      <c r="F775" s="2" t="s">
        <v>21</v>
      </c>
      <c r="G775" s="3" t="str">
        <f t="shared" si="1"/>
        <v>P3 - Backlog</v>
      </c>
      <c r="H775" s="4" t="s">
        <v>1399</v>
      </c>
    </row>
    <row r="776" ht="15.75" customHeight="1">
      <c r="A776" s="2" t="s">
        <v>1398</v>
      </c>
      <c r="B776" s="2" t="s">
        <v>1095</v>
      </c>
      <c r="C776" s="2" t="s">
        <v>36</v>
      </c>
      <c r="D776" s="2" t="s">
        <v>37</v>
      </c>
      <c r="E776" s="2" t="s">
        <v>1367</v>
      </c>
      <c r="F776" s="2" t="s">
        <v>21</v>
      </c>
      <c r="G776" s="3" t="str">
        <f t="shared" si="1"/>
        <v>P3 - Backlog</v>
      </c>
      <c r="H776" s="4" t="s">
        <v>1399</v>
      </c>
    </row>
    <row r="777" ht="15.75" customHeight="1">
      <c r="A777" s="2" t="s">
        <v>1398</v>
      </c>
      <c r="B777" s="2" t="s">
        <v>1096</v>
      </c>
      <c r="C777" s="2" t="s">
        <v>36</v>
      </c>
      <c r="D777" s="2" t="s">
        <v>37</v>
      </c>
      <c r="E777" s="2" t="s">
        <v>1367</v>
      </c>
      <c r="F777" s="2" t="s">
        <v>21</v>
      </c>
      <c r="G777" s="3" t="str">
        <f t="shared" si="1"/>
        <v>P3 - Backlog</v>
      </c>
      <c r="H777" s="4" t="s">
        <v>1399</v>
      </c>
    </row>
    <row r="778" ht="15.75" customHeight="1">
      <c r="A778" s="2" t="s">
        <v>1398</v>
      </c>
      <c r="B778" s="2" t="s">
        <v>1097</v>
      </c>
      <c r="C778" s="2" t="s">
        <v>36</v>
      </c>
      <c r="D778" s="2" t="s">
        <v>37</v>
      </c>
      <c r="E778" s="2" t="s">
        <v>1367</v>
      </c>
      <c r="F778" s="2" t="s">
        <v>21</v>
      </c>
      <c r="G778" s="3" t="str">
        <f t="shared" si="1"/>
        <v>P3 - Backlog</v>
      </c>
      <c r="H778" s="4" t="s">
        <v>1399</v>
      </c>
    </row>
    <row r="779" ht="15.75" customHeight="1">
      <c r="A779" s="2" t="s">
        <v>1398</v>
      </c>
      <c r="B779" s="2" t="s">
        <v>1098</v>
      </c>
      <c r="C779" s="2" t="s">
        <v>36</v>
      </c>
      <c r="D779" s="2" t="s">
        <v>37</v>
      </c>
      <c r="E779" s="2" t="s">
        <v>1367</v>
      </c>
      <c r="F779" s="2" t="s">
        <v>21</v>
      </c>
      <c r="G779" s="3" t="str">
        <f t="shared" si="1"/>
        <v>P3 - Backlog</v>
      </c>
      <c r="H779" s="4" t="s">
        <v>1399</v>
      </c>
    </row>
    <row r="780" ht="15.75" customHeight="1">
      <c r="A780" s="2" t="s">
        <v>1398</v>
      </c>
      <c r="B780" s="2" t="s">
        <v>1099</v>
      </c>
      <c r="C780" s="2" t="s">
        <v>36</v>
      </c>
      <c r="D780" s="2" t="s">
        <v>37</v>
      </c>
      <c r="E780" s="2" t="s">
        <v>1367</v>
      </c>
      <c r="F780" s="2" t="s">
        <v>21</v>
      </c>
      <c r="G780" s="3" t="str">
        <f t="shared" si="1"/>
        <v>P3 - Backlog</v>
      </c>
      <c r="H780" s="4" t="s">
        <v>1399</v>
      </c>
    </row>
    <row r="781" ht="15.75" customHeight="1">
      <c r="A781" s="2" t="s">
        <v>1398</v>
      </c>
      <c r="B781" s="2" t="s">
        <v>1100</v>
      </c>
      <c r="C781" s="2" t="s">
        <v>36</v>
      </c>
      <c r="D781" s="2" t="s">
        <v>37</v>
      </c>
      <c r="E781" s="2" t="s">
        <v>1367</v>
      </c>
      <c r="F781" s="2" t="s">
        <v>21</v>
      </c>
      <c r="G781" s="3" t="str">
        <f t="shared" si="1"/>
        <v>P3 - Backlog</v>
      </c>
      <c r="H781" s="4" t="s">
        <v>1399</v>
      </c>
    </row>
    <row r="782" ht="15.75" customHeight="1">
      <c r="A782" s="2" t="s">
        <v>1398</v>
      </c>
      <c r="B782" s="2" t="s">
        <v>1101</v>
      </c>
      <c r="C782" s="2" t="s">
        <v>36</v>
      </c>
      <c r="D782" s="2" t="s">
        <v>37</v>
      </c>
      <c r="E782" s="2" t="s">
        <v>1367</v>
      </c>
      <c r="F782" s="2" t="s">
        <v>21</v>
      </c>
      <c r="G782" s="3" t="str">
        <f t="shared" si="1"/>
        <v>P3 - Backlog</v>
      </c>
      <c r="H782" s="4" t="s">
        <v>1399</v>
      </c>
    </row>
    <row r="783" ht="15.75" customHeight="1">
      <c r="A783" s="2" t="s">
        <v>1398</v>
      </c>
      <c r="B783" s="2" t="s">
        <v>1102</v>
      </c>
      <c r="C783" s="2" t="s">
        <v>36</v>
      </c>
      <c r="D783" s="2" t="s">
        <v>37</v>
      </c>
      <c r="E783" s="2" t="s">
        <v>1367</v>
      </c>
      <c r="F783" s="2" t="s">
        <v>21</v>
      </c>
      <c r="G783" s="3" t="str">
        <f t="shared" si="1"/>
        <v>P3 - Backlog</v>
      </c>
      <c r="H783" s="4" t="s">
        <v>1399</v>
      </c>
    </row>
    <row r="784" ht="15.75" customHeight="1">
      <c r="A784" s="2" t="s">
        <v>1398</v>
      </c>
      <c r="B784" s="2" t="s">
        <v>1103</v>
      </c>
      <c r="C784" s="2" t="s">
        <v>36</v>
      </c>
      <c r="D784" s="2" t="s">
        <v>37</v>
      </c>
      <c r="E784" s="2" t="s">
        <v>1367</v>
      </c>
      <c r="F784" s="2" t="s">
        <v>21</v>
      </c>
      <c r="G784" s="3" t="str">
        <f t="shared" si="1"/>
        <v>P3 - Backlog</v>
      </c>
      <c r="H784" s="4" t="s">
        <v>1399</v>
      </c>
    </row>
    <row r="785" ht="15.75" customHeight="1">
      <c r="A785" s="2" t="s">
        <v>1400</v>
      </c>
      <c r="B785" s="2" t="s">
        <v>510</v>
      </c>
      <c r="C785" s="2" t="s">
        <v>36</v>
      </c>
      <c r="D785" s="2" t="s">
        <v>37</v>
      </c>
      <c r="E785" s="2" t="s">
        <v>1367</v>
      </c>
      <c r="F785" s="2" t="s">
        <v>21</v>
      </c>
      <c r="G785" s="3" t="str">
        <f t="shared" si="1"/>
        <v>P3 - Backlog</v>
      </c>
      <c r="H785" s="4" t="s">
        <v>1401</v>
      </c>
    </row>
    <row r="786" ht="15.75" customHeight="1">
      <c r="A786" s="2" t="s">
        <v>1402</v>
      </c>
      <c r="B786" s="2" t="s">
        <v>510</v>
      </c>
      <c r="C786" s="2" t="s">
        <v>36</v>
      </c>
      <c r="D786" s="2" t="s">
        <v>37</v>
      </c>
      <c r="E786" s="2" t="s">
        <v>1367</v>
      </c>
      <c r="F786" s="2" t="s">
        <v>21</v>
      </c>
      <c r="G786" s="3" t="str">
        <f t="shared" si="1"/>
        <v>P3 - Backlog</v>
      </c>
      <c r="H786" s="4" t="s">
        <v>1403</v>
      </c>
    </row>
    <row r="787" ht="15.75" customHeight="1">
      <c r="A787" s="2" t="s">
        <v>1404</v>
      </c>
      <c r="B787" s="2" t="s">
        <v>510</v>
      </c>
      <c r="C787" s="2" t="s">
        <v>36</v>
      </c>
      <c r="D787" s="2" t="s">
        <v>37</v>
      </c>
      <c r="E787" s="2" t="s">
        <v>1367</v>
      </c>
      <c r="F787" s="2" t="s">
        <v>21</v>
      </c>
      <c r="G787" s="3" t="str">
        <f t="shared" si="1"/>
        <v>P3 - Backlog</v>
      </c>
      <c r="H787" s="4" t="s">
        <v>1405</v>
      </c>
    </row>
    <row r="788" ht="15.75" customHeight="1">
      <c r="A788" s="2" t="s">
        <v>1406</v>
      </c>
      <c r="B788" s="2" t="s">
        <v>510</v>
      </c>
      <c r="C788" s="2" t="s">
        <v>36</v>
      </c>
      <c r="D788" s="2" t="s">
        <v>37</v>
      </c>
      <c r="E788" s="2" t="s">
        <v>1367</v>
      </c>
      <c r="F788" s="2" t="s">
        <v>21</v>
      </c>
      <c r="G788" s="3" t="str">
        <f t="shared" si="1"/>
        <v>P3 - Backlog</v>
      </c>
      <c r="H788" s="4" t="s">
        <v>1407</v>
      </c>
    </row>
    <row r="789" ht="15.75" customHeight="1">
      <c r="A789" s="2" t="s">
        <v>1408</v>
      </c>
      <c r="B789" s="2" t="s">
        <v>510</v>
      </c>
      <c r="C789" s="2" t="s">
        <v>36</v>
      </c>
      <c r="D789" s="2" t="s">
        <v>37</v>
      </c>
      <c r="E789" s="2" t="s">
        <v>1367</v>
      </c>
      <c r="F789" s="2" t="s">
        <v>21</v>
      </c>
      <c r="G789" s="3" t="str">
        <f t="shared" si="1"/>
        <v>P3 - Backlog</v>
      </c>
      <c r="H789" s="4" t="s">
        <v>1409</v>
      </c>
    </row>
    <row r="790" ht="15.75" customHeight="1">
      <c r="A790" s="2" t="s">
        <v>1410</v>
      </c>
      <c r="B790" s="2" t="s">
        <v>1411</v>
      </c>
      <c r="C790" s="2" t="s">
        <v>36</v>
      </c>
      <c r="D790" s="2" t="s">
        <v>37</v>
      </c>
      <c r="E790" s="2" t="s">
        <v>1367</v>
      </c>
      <c r="F790" s="2" t="s">
        <v>21</v>
      </c>
      <c r="G790" s="3" t="str">
        <f t="shared" si="1"/>
        <v>P3 - Backlog</v>
      </c>
      <c r="H790" s="4" t="s">
        <v>1412</v>
      </c>
    </row>
    <row r="791" ht="15.75" customHeight="1">
      <c r="A791" s="2" t="s">
        <v>1410</v>
      </c>
      <c r="B791" s="2" t="s">
        <v>1413</v>
      </c>
      <c r="C791" s="2" t="s">
        <v>36</v>
      </c>
      <c r="D791" s="2" t="s">
        <v>37</v>
      </c>
      <c r="E791" s="2" t="s">
        <v>1367</v>
      </c>
      <c r="F791" s="2" t="s">
        <v>21</v>
      </c>
      <c r="G791" s="3" t="str">
        <f t="shared" si="1"/>
        <v>P3 - Backlog</v>
      </c>
      <c r="H791" s="4" t="s">
        <v>1412</v>
      </c>
    </row>
    <row r="792" ht="15.75" customHeight="1">
      <c r="A792" s="2" t="s">
        <v>1410</v>
      </c>
      <c r="B792" s="2" t="s">
        <v>1414</v>
      </c>
      <c r="C792" s="2" t="s">
        <v>36</v>
      </c>
      <c r="D792" s="2" t="s">
        <v>37</v>
      </c>
      <c r="E792" s="2" t="s">
        <v>1367</v>
      </c>
      <c r="F792" s="2" t="s">
        <v>21</v>
      </c>
      <c r="G792" s="3" t="str">
        <f t="shared" si="1"/>
        <v>P3 - Backlog</v>
      </c>
      <c r="H792" s="4" t="s">
        <v>1412</v>
      </c>
    </row>
    <row r="793" ht="15.75" customHeight="1">
      <c r="A793" s="2" t="s">
        <v>1410</v>
      </c>
      <c r="B793" s="2" t="s">
        <v>1415</v>
      </c>
      <c r="C793" s="2" t="s">
        <v>36</v>
      </c>
      <c r="D793" s="2" t="s">
        <v>37</v>
      </c>
      <c r="E793" s="2" t="s">
        <v>1367</v>
      </c>
      <c r="F793" s="2" t="s">
        <v>21</v>
      </c>
      <c r="G793" s="3" t="str">
        <f t="shared" si="1"/>
        <v>P3 - Backlog</v>
      </c>
      <c r="H793" s="4" t="s">
        <v>1412</v>
      </c>
    </row>
    <row r="794" ht="15.75" customHeight="1">
      <c r="A794" s="2" t="s">
        <v>1410</v>
      </c>
      <c r="B794" s="2" t="s">
        <v>1416</v>
      </c>
      <c r="C794" s="2" t="s">
        <v>36</v>
      </c>
      <c r="D794" s="2" t="s">
        <v>37</v>
      </c>
      <c r="E794" s="2" t="s">
        <v>1367</v>
      </c>
      <c r="F794" s="2" t="s">
        <v>21</v>
      </c>
      <c r="G794" s="3" t="str">
        <f t="shared" si="1"/>
        <v>P3 - Backlog</v>
      </c>
      <c r="H794" s="4" t="s">
        <v>1412</v>
      </c>
    </row>
    <row r="795" ht="15.75" customHeight="1">
      <c r="A795" s="2" t="s">
        <v>1410</v>
      </c>
      <c r="B795" s="2" t="s">
        <v>1417</v>
      </c>
      <c r="C795" s="2" t="s">
        <v>36</v>
      </c>
      <c r="D795" s="2" t="s">
        <v>37</v>
      </c>
      <c r="E795" s="2" t="s">
        <v>1367</v>
      </c>
      <c r="F795" s="2" t="s">
        <v>21</v>
      </c>
      <c r="G795" s="3" t="str">
        <f t="shared" si="1"/>
        <v>P3 - Backlog</v>
      </c>
      <c r="H795" s="4" t="s">
        <v>1412</v>
      </c>
    </row>
    <row r="796" ht="15.75" customHeight="1">
      <c r="A796" s="2" t="s">
        <v>1410</v>
      </c>
      <c r="B796" s="2" t="s">
        <v>1418</v>
      </c>
      <c r="C796" s="2" t="s">
        <v>36</v>
      </c>
      <c r="D796" s="2" t="s">
        <v>37</v>
      </c>
      <c r="E796" s="2" t="s">
        <v>1367</v>
      </c>
      <c r="F796" s="2" t="s">
        <v>21</v>
      </c>
      <c r="G796" s="3" t="str">
        <f t="shared" si="1"/>
        <v>P3 - Backlog</v>
      </c>
      <c r="H796" s="4" t="s">
        <v>1412</v>
      </c>
    </row>
    <row r="797" ht="15.75" customHeight="1">
      <c r="A797" s="2" t="s">
        <v>1410</v>
      </c>
      <c r="B797" s="2" t="s">
        <v>1419</v>
      </c>
      <c r="C797" s="2" t="s">
        <v>36</v>
      </c>
      <c r="D797" s="2" t="s">
        <v>37</v>
      </c>
      <c r="E797" s="2" t="s">
        <v>1367</v>
      </c>
      <c r="F797" s="2" t="s">
        <v>21</v>
      </c>
      <c r="G797" s="3" t="str">
        <f t="shared" si="1"/>
        <v>P3 - Backlog</v>
      </c>
      <c r="H797" s="4" t="s">
        <v>1412</v>
      </c>
    </row>
    <row r="798" ht="15.75" customHeight="1">
      <c r="A798" s="2" t="s">
        <v>1410</v>
      </c>
      <c r="B798" s="2" t="s">
        <v>1420</v>
      </c>
      <c r="C798" s="2" t="s">
        <v>36</v>
      </c>
      <c r="D798" s="2" t="s">
        <v>37</v>
      </c>
      <c r="E798" s="2" t="s">
        <v>1367</v>
      </c>
      <c r="F798" s="2" t="s">
        <v>21</v>
      </c>
      <c r="G798" s="3" t="str">
        <f t="shared" si="1"/>
        <v>P3 - Backlog</v>
      </c>
      <c r="H798" s="4" t="s">
        <v>1412</v>
      </c>
    </row>
    <row r="799" ht="15.75" customHeight="1">
      <c r="A799" s="2" t="s">
        <v>1410</v>
      </c>
      <c r="B799" s="2" t="s">
        <v>1421</v>
      </c>
      <c r="C799" s="2" t="s">
        <v>36</v>
      </c>
      <c r="D799" s="2" t="s">
        <v>37</v>
      </c>
      <c r="E799" s="2" t="s">
        <v>1367</v>
      </c>
      <c r="F799" s="2" t="s">
        <v>21</v>
      </c>
      <c r="G799" s="3" t="str">
        <f t="shared" si="1"/>
        <v>P3 - Backlog</v>
      </c>
      <c r="H799" s="4" t="s">
        <v>1412</v>
      </c>
    </row>
    <row r="800" ht="15.75" customHeight="1">
      <c r="A800" s="2" t="s">
        <v>1422</v>
      </c>
      <c r="B800" s="2" t="s">
        <v>45</v>
      </c>
      <c r="C800" s="2" t="s">
        <v>36</v>
      </c>
      <c r="D800" s="2" t="s">
        <v>37</v>
      </c>
      <c r="E800" s="2" t="s">
        <v>1423</v>
      </c>
      <c r="F800" s="2" t="s">
        <v>21</v>
      </c>
      <c r="G800" s="3" t="str">
        <f t="shared" si="1"/>
        <v>Pending evaluation</v>
      </c>
      <c r="H800" s="4" t="s">
        <v>1424</v>
      </c>
    </row>
    <row r="801" ht="15.75" customHeight="1">
      <c r="A801" s="2" t="s">
        <v>1425</v>
      </c>
      <c r="B801" s="2" t="s">
        <v>45</v>
      </c>
      <c r="C801" s="2" t="s">
        <v>36</v>
      </c>
      <c r="D801" s="2" t="s">
        <v>37</v>
      </c>
      <c r="E801" s="2" t="s">
        <v>1423</v>
      </c>
      <c r="F801" s="2" t="s">
        <v>21</v>
      </c>
      <c r="G801" s="3" t="str">
        <f t="shared" si="1"/>
        <v>Pending evaluation</v>
      </c>
      <c r="H801" s="4" t="s">
        <v>1426</v>
      </c>
    </row>
    <row r="802" ht="15.75" customHeight="1">
      <c r="A802" s="2" t="s">
        <v>1427</v>
      </c>
      <c r="B802" s="2" t="s">
        <v>1065</v>
      </c>
      <c r="C802" s="2" t="s">
        <v>36</v>
      </c>
      <c r="D802" s="2" t="s">
        <v>37</v>
      </c>
      <c r="E802" s="2" t="s">
        <v>1423</v>
      </c>
      <c r="F802" s="2" t="s">
        <v>21</v>
      </c>
      <c r="G802" s="3" t="str">
        <f t="shared" si="1"/>
        <v>Pending evaluation</v>
      </c>
      <c r="H802" s="4" t="s">
        <v>1428</v>
      </c>
    </row>
    <row r="803" ht="15.75" customHeight="1">
      <c r="A803" s="2" t="s">
        <v>1427</v>
      </c>
      <c r="B803" s="2" t="s">
        <v>45</v>
      </c>
      <c r="C803" s="2" t="s">
        <v>36</v>
      </c>
      <c r="D803" s="2" t="s">
        <v>37</v>
      </c>
      <c r="E803" s="2" t="s">
        <v>1423</v>
      </c>
      <c r="F803" s="2" t="s">
        <v>21</v>
      </c>
      <c r="G803" s="3" t="str">
        <f t="shared" si="1"/>
        <v>Pending evaluation</v>
      </c>
      <c r="H803" s="4" t="s">
        <v>1428</v>
      </c>
    </row>
    <row r="804" ht="15.75" customHeight="1">
      <c r="A804" s="2" t="s">
        <v>1429</v>
      </c>
      <c r="B804" s="2" t="s">
        <v>45</v>
      </c>
      <c r="C804" s="2" t="s">
        <v>36</v>
      </c>
      <c r="D804" s="2" t="s">
        <v>37</v>
      </c>
      <c r="E804" s="2" t="s">
        <v>1423</v>
      </c>
      <c r="F804" s="2" t="s">
        <v>21</v>
      </c>
      <c r="G804" s="3" t="str">
        <f t="shared" si="1"/>
        <v>Pending evaluation</v>
      </c>
      <c r="H804" s="4" t="s">
        <v>1430</v>
      </c>
    </row>
    <row r="805" ht="15.75" customHeight="1">
      <c r="A805" s="2" t="s">
        <v>1431</v>
      </c>
      <c r="B805" s="2" t="s">
        <v>45</v>
      </c>
      <c r="C805" s="2" t="s">
        <v>36</v>
      </c>
      <c r="D805" s="2" t="s">
        <v>37</v>
      </c>
      <c r="E805" s="2" t="s">
        <v>1423</v>
      </c>
      <c r="F805" s="2" t="s">
        <v>21</v>
      </c>
      <c r="G805" s="3" t="str">
        <f t="shared" si="1"/>
        <v>Pending evaluation</v>
      </c>
      <c r="H805" s="4" t="s">
        <v>1432</v>
      </c>
    </row>
    <row r="806" ht="15.75" customHeight="1">
      <c r="A806" s="2" t="s">
        <v>1433</v>
      </c>
      <c r="B806" s="2" t="s">
        <v>45</v>
      </c>
      <c r="C806" s="2" t="s">
        <v>36</v>
      </c>
      <c r="D806" s="2" t="s">
        <v>37</v>
      </c>
      <c r="E806" s="2" t="s">
        <v>1423</v>
      </c>
      <c r="F806" s="2" t="s">
        <v>21</v>
      </c>
      <c r="G806" s="3" t="str">
        <f t="shared" si="1"/>
        <v>Pending evaluation</v>
      </c>
      <c r="H806" s="4" t="s">
        <v>1434</v>
      </c>
    </row>
    <row r="807" ht="15.75" customHeight="1">
      <c r="A807" s="2" t="s">
        <v>1435</v>
      </c>
      <c r="B807" s="2" t="s">
        <v>1065</v>
      </c>
      <c r="C807" s="2" t="s">
        <v>36</v>
      </c>
      <c r="D807" s="2" t="s">
        <v>37</v>
      </c>
      <c r="E807" s="2" t="s">
        <v>1423</v>
      </c>
      <c r="F807" s="2" t="s">
        <v>21</v>
      </c>
      <c r="G807" s="3" t="str">
        <f t="shared" si="1"/>
        <v>Pending evaluation</v>
      </c>
      <c r="H807" s="4" t="s">
        <v>1436</v>
      </c>
    </row>
    <row r="808" ht="15.75" customHeight="1">
      <c r="A808" s="2" t="s">
        <v>1437</v>
      </c>
      <c r="B808" s="2" t="s">
        <v>1065</v>
      </c>
      <c r="C808" s="2" t="s">
        <v>36</v>
      </c>
      <c r="D808" s="2" t="s">
        <v>37</v>
      </c>
      <c r="E808" s="2" t="s">
        <v>1423</v>
      </c>
      <c r="F808" s="2" t="s">
        <v>21</v>
      </c>
      <c r="G808" s="3" t="str">
        <f t="shared" si="1"/>
        <v>Pending evaluation</v>
      </c>
      <c r="H808" s="4" t="s">
        <v>1438</v>
      </c>
    </row>
    <row r="809" ht="15.75" customHeight="1">
      <c r="A809" s="2" t="s">
        <v>1439</v>
      </c>
      <c r="B809" s="2" t="s">
        <v>1065</v>
      </c>
      <c r="C809" s="2" t="s">
        <v>36</v>
      </c>
      <c r="D809" s="2" t="s">
        <v>37</v>
      </c>
      <c r="E809" s="2" t="s">
        <v>1423</v>
      </c>
      <c r="F809" s="2" t="s">
        <v>21</v>
      </c>
      <c r="G809" s="3" t="str">
        <f t="shared" si="1"/>
        <v>Pending evaluation</v>
      </c>
      <c r="H809" s="4" t="s">
        <v>1440</v>
      </c>
    </row>
    <row r="810" ht="15.75" customHeight="1">
      <c r="A810" s="2" t="s">
        <v>1441</v>
      </c>
      <c r="B810" s="2" t="s">
        <v>1065</v>
      </c>
      <c r="C810" s="2" t="s">
        <v>36</v>
      </c>
      <c r="D810" s="2" t="s">
        <v>37</v>
      </c>
      <c r="E810" s="2" t="s">
        <v>1423</v>
      </c>
      <c r="F810" s="2" t="s">
        <v>21</v>
      </c>
      <c r="G810" s="3" t="str">
        <f t="shared" si="1"/>
        <v>Pending evaluation</v>
      </c>
      <c r="H810" s="4" t="s">
        <v>1442</v>
      </c>
    </row>
    <row r="811" ht="15.75" customHeight="1">
      <c r="A811" s="2" t="s">
        <v>1443</v>
      </c>
      <c r="B811" s="2" t="s">
        <v>1065</v>
      </c>
      <c r="C811" s="2" t="s">
        <v>36</v>
      </c>
      <c r="D811" s="2" t="s">
        <v>37</v>
      </c>
      <c r="E811" s="2" t="s">
        <v>1423</v>
      </c>
      <c r="F811" s="2" t="s">
        <v>21</v>
      </c>
      <c r="G811" s="3" t="str">
        <f t="shared" si="1"/>
        <v>Pending evaluation</v>
      </c>
      <c r="H811" s="4" t="s">
        <v>1444</v>
      </c>
    </row>
    <row r="812" ht="15.75" customHeight="1">
      <c r="A812" s="2" t="s">
        <v>1445</v>
      </c>
      <c r="B812" s="2" t="s">
        <v>1065</v>
      </c>
      <c r="C812" s="2" t="s">
        <v>36</v>
      </c>
      <c r="D812" s="2" t="s">
        <v>37</v>
      </c>
      <c r="E812" s="2" t="s">
        <v>1423</v>
      </c>
      <c r="F812" s="2" t="s">
        <v>21</v>
      </c>
      <c r="G812" s="3" t="str">
        <f t="shared" si="1"/>
        <v>Pending evaluation</v>
      </c>
      <c r="H812" s="4" t="s">
        <v>1446</v>
      </c>
    </row>
    <row r="813" ht="15.75" customHeight="1">
      <c r="A813" s="2" t="s">
        <v>1447</v>
      </c>
      <c r="B813" s="2" t="s">
        <v>45</v>
      </c>
      <c r="C813" s="2" t="s">
        <v>36</v>
      </c>
      <c r="D813" s="2" t="s">
        <v>37</v>
      </c>
      <c r="E813" s="2" t="s">
        <v>1423</v>
      </c>
      <c r="F813" s="2" t="s">
        <v>21</v>
      </c>
      <c r="G813" s="3" t="str">
        <f t="shared" si="1"/>
        <v>Pending evaluation</v>
      </c>
      <c r="H813" s="4" t="s">
        <v>1448</v>
      </c>
    </row>
    <row r="814" ht="15.75" customHeight="1">
      <c r="A814" s="2" t="s">
        <v>1449</v>
      </c>
      <c r="B814" s="2" t="s">
        <v>1065</v>
      </c>
      <c r="C814" s="2" t="s">
        <v>36</v>
      </c>
      <c r="D814" s="2" t="s">
        <v>37</v>
      </c>
      <c r="E814" s="2" t="s">
        <v>1423</v>
      </c>
      <c r="F814" s="2" t="s">
        <v>21</v>
      </c>
      <c r="G814" s="3" t="str">
        <f t="shared" si="1"/>
        <v>Pending evaluation</v>
      </c>
      <c r="H814" s="4" t="s">
        <v>1450</v>
      </c>
    </row>
    <row r="815" ht="15.75" customHeight="1">
      <c r="A815" s="2" t="s">
        <v>1451</v>
      </c>
      <c r="B815" s="2" t="s">
        <v>1065</v>
      </c>
      <c r="C815" s="2" t="s">
        <v>36</v>
      </c>
      <c r="D815" s="2" t="s">
        <v>37</v>
      </c>
      <c r="E815" s="2" t="s">
        <v>1423</v>
      </c>
      <c r="F815" s="2" t="s">
        <v>21</v>
      </c>
      <c r="G815" s="3" t="str">
        <f t="shared" si="1"/>
        <v>Pending evaluation</v>
      </c>
      <c r="H815" s="4" t="s">
        <v>1452</v>
      </c>
    </row>
    <row r="816" ht="15.75" customHeight="1">
      <c r="A816" s="2" t="s">
        <v>1453</v>
      </c>
      <c r="B816" s="2" t="s">
        <v>1065</v>
      </c>
      <c r="C816" s="2" t="s">
        <v>36</v>
      </c>
      <c r="D816" s="2" t="s">
        <v>37</v>
      </c>
      <c r="E816" s="2" t="s">
        <v>1423</v>
      </c>
      <c r="F816" s="2" t="s">
        <v>21</v>
      </c>
      <c r="G816" s="3" t="str">
        <f t="shared" si="1"/>
        <v>Pending evaluation</v>
      </c>
      <c r="H816" s="4" t="s">
        <v>1454</v>
      </c>
    </row>
    <row r="817" ht="15.75" customHeight="1">
      <c r="A817" s="2" t="s">
        <v>1455</v>
      </c>
      <c r="B817" s="2" t="s">
        <v>1065</v>
      </c>
      <c r="C817" s="2" t="s">
        <v>36</v>
      </c>
      <c r="D817" s="2" t="s">
        <v>37</v>
      </c>
      <c r="E817" s="2" t="s">
        <v>1423</v>
      </c>
      <c r="F817" s="2" t="s">
        <v>21</v>
      </c>
      <c r="G817" s="3" t="str">
        <f t="shared" si="1"/>
        <v>Pending evaluation</v>
      </c>
      <c r="H817" s="4" t="s">
        <v>1456</v>
      </c>
    </row>
    <row r="818" ht="15.75" customHeight="1">
      <c r="A818" s="2" t="s">
        <v>1457</v>
      </c>
      <c r="B818" s="2" t="s">
        <v>1458</v>
      </c>
      <c r="C818" s="2" t="s">
        <v>36</v>
      </c>
      <c r="D818" s="2" t="s">
        <v>37</v>
      </c>
      <c r="E818" s="2" t="s">
        <v>1423</v>
      </c>
      <c r="F818" s="2" t="s">
        <v>21</v>
      </c>
      <c r="G818" s="3" t="str">
        <f t="shared" si="1"/>
        <v>Pending evaluation</v>
      </c>
      <c r="H818" s="4" t="s">
        <v>1459</v>
      </c>
    </row>
    <row r="819" ht="15.75" customHeight="1">
      <c r="A819" s="2" t="s">
        <v>1460</v>
      </c>
      <c r="B819" s="2" t="s">
        <v>45</v>
      </c>
      <c r="C819" s="2" t="s">
        <v>36</v>
      </c>
      <c r="D819" s="2" t="s">
        <v>37</v>
      </c>
      <c r="E819" s="2" t="s">
        <v>1423</v>
      </c>
      <c r="F819" s="2" t="s">
        <v>21</v>
      </c>
      <c r="G819" s="3" t="str">
        <f t="shared" si="1"/>
        <v>Pending evaluation</v>
      </c>
      <c r="H819" s="4" t="s">
        <v>1461</v>
      </c>
    </row>
    <row r="820" ht="15.75" customHeight="1">
      <c r="A820" s="2" t="s">
        <v>1462</v>
      </c>
      <c r="B820" s="2" t="s">
        <v>45</v>
      </c>
      <c r="C820" s="2" t="s">
        <v>36</v>
      </c>
      <c r="D820" s="2" t="s">
        <v>37</v>
      </c>
      <c r="E820" s="2" t="s">
        <v>1423</v>
      </c>
      <c r="F820" s="2" t="s">
        <v>21</v>
      </c>
      <c r="G820" s="3" t="str">
        <f t="shared" si="1"/>
        <v>Pending evaluation</v>
      </c>
      <c r="H820" s="4" t="s">
        <v>1463</v>
      </c>
    </row>
    <row r="821" ht="15.75" customHeight="1">
      <c r="A821" s="2" t="s">
        <v>1464</v>
      </c>
      <c r="B821" s="2" t="s">
        <v>45</v>
      </c>
      <c r="C821" s="2" t="s">
        <v>36</v>
      </c>
      <c r="D821" s="2" t="s">
        <v>37</v>
      </c>
      <c r="E821" s="2" t="s">
        <v>1423</v>
      </c>
      <c r="F821" s="2" t="s">
        <v>21</v>
      </c>
      <c r="G821" s="3" t="str">
        <f t="shared" si="1"/>
        <v>Pending evaluation</v>
      </c>
      <c r="H821" s="4" t="s">
        <v>1465</v>
      </c>
    </row>
    <row r="822" ht="15.75" customHeight="1">
      <c r="A822" s="2" t="s">
        <v>1466</v>
      </c>
      <c r="B822" s="2" t="s">
        <v>45</v>
      </c>
      <c r="C822" s="2" t="s">
        <v>36</v>
      </c>
      <c r="D822" s="2" t="s">
        <v>37</v>
      </c>
      <c r="E822" s="2" t="s">
        <v>1423</v>
      </c>
      <c r="F822" s="2" t="s">
        <v>21</v>
      </c>
      <c r="G822" s="3" t="str">
        <f t="shared" si="1"/>
        <v>Pending evaluation</v>
      </c>
      <c r="H822" s="4" t="s">
        <v>1467</v>
      </c>
    </row>
    <row r="823" ht="15.75" customHeight="1">
      <c r="A823" s="2" t="s">
        <v>1468</v>
      </c>
      <c r="B823" s="2" t="s">
        <v>45</v>
      </c>
      <c r="C823" s="2" t="s">
        <v>36</v>
      </c>
      <c r="D823" s="2" t="s">
        <v>37</v>
      </c>
      <c r="E823" s="2" t="s">
        <v>1423</v>
      </c>
      <c r="F823" s="2" t="s">
        <v>21</v>
      </c>
      <c r="G823" s="3" t="str">
        <f t="shared" si="1"/>
        <v>Pending evaluation</v>
      </c>
      <c r="H823" s="4" t="s">
        <v>1469</v>
      </c>
    </row>
    <row r="824" ht="15.75" customHeight="1">
      <c r="A824" s="2" t="s">
        <v>1470</v>
      </c>
      <c r="B824" s="2" t="s">
        <v>45</v>
      </c>
      <c r="C824" s="2" t="s">
        <v>36</v>
      </c>
      <c r="D824" s="2" t="s">
        <v>37</v>
      </c>
      <c r="E824" s="2" t="s">
        <v>1423</v>
      </c>
      <c r="F824" s="2" t="s">
        <v>21</v>
      </c>
      <c r="G824" s="3" t="str">
        <f t="shared" si="1"/>
        <v>Pending evaluation</v>
      </c>
      <c r="H824" s="4" t="s">
        <v>1471</v>
      </c>
    </row>
    <row r="825" ht="15.75" customHeight="1">
      <c r="A825" s="2" t="s">
        <v>1472</v>
      </c>
      <c r="B825" s="2" t="s">
        <v>45</v>
      </c>
      <c r="C825" s="2" t="s">
        <v>36</v>
      </c>
      <c r="D825" s="2" t="s">
        <v>37</v>
      </c>
      <c r="E825" s="2" t="s">
        <v>1423</v>
      </c>
      <c r="F825" s="2" t="s">
        <v>21</v>
      </c>
      <c r="G825" s="3" t="str">
        <f t="shared" si="1"/>
        <v>Pending evaluation</v>
      </c>
      <c r="H825" s="4" t="s">
        <v>1473</v>
      </c>
    </row>
    <row r="826" ht="15.75" customHeight="1">
      <c r="A826" s="2" t="s">
        <v>1474</v>
      </c>
      <c r="B826" s="2" t="s">
        <v>45</v>
      </c>
      <c r="C826" s="2" t="s">
        <v>36</v>
      </c>
      <c r="D826" s="2" t="s">
        <v>37</v>
      </c>
      <c r="E826" s="2" t="s">
        <v>1423</v>
      </c>
      <c r="F826" s="2" t="s">
        <v>21</v>
      </c>
      <c r="G826" s="3" t="str">
        <f t="shared" si="1"/>
        <v>Pending evaluation</v>
      </c>
      <c r="H826" s="4" t="s">
        <v>1475</v>
      </c>
    </row>
    <row r="827" ht="15.75" customHeight="1">
      <c r="A827" s="2" t="s">
        <v>1476</v>
      </c>
      <c r="B827" s="2" t="s">
        <v>45</v>
      </c>
      <c r="C827" s="2" t="s">
        <v>36</v>
      </c>
      <c r="D827" s="2" t="s">
        <v>37</v>
      </c>
      <c r="E827" s="2" t="s">
        <v>1423</v>
      </c>
      <c r="F827" s="2" t="s">
        <v>21</v>
      </c>
      <c r="G827" s="3" t="str">
        <f t="shared" si="1"/>
        <v>Pending evaluation</v>
      </c>
      <c r="H827" s="4" t="s">
        <v>1477</v>
      </c>
    </row>
    <row r="828" ht="15.75" customHeight="1">
      <c r="A828" s="2" t="s">
        <v>1478</v>
      </c>
      <c r="B828" s="2" t="s">
        <v>45</v>
      </c>
      <c r="C828" s="2" t="s">
        <v>36</v>
      </c>
      <c r="D828" s="2" t="s">
        <v>37</v>
      </c>
      <c r="E828" s="2" t="s">
        <v>1423</v>
      </c>
      <c r="F828" s="2" t="s">
        <v>21</v>
      </c>
      <c r="G828" s="3" t="str">
        <f t="shared" si="1"/>
        <v>Pending evaluation</v>
      </c>
      <c r="H828" s="4" t="s">
        <v>1479</v>
      </c>
    </row>
    <row r="829" ht="15.75" customHeight="1">
      <c r="A829" s="2" t="s">
        <v>1480</v>
      </c>
      <c r="B829" s="2" t="s">
        <v>45</v>
      </c>
      <c r="C829" s="2" t="s">
        <v>36</v>
      </c>
      <c r="D829" s="2" t="s">
        <v>37</v>
      </c>
      <c r="E829" s="2" t="s">
        <v>1423</v>
      </c>
      <c r="F829" s="2" t="s">
        <v>21</v>
      </c>
      <c r="G829" s="3" t="str">
        <f t="shared" si="1"/>
        <v>Pending evaluation</v>
      </c>
      <c r="H829" s="4" t="s">
        <v>1481</v>
      </c>
    </row>
    <row r="830" ht="15.75" customHeight="1">
      <c r="A830" s="2" t="s">
        <v>1482</v>
      </c>
      <c r="B830" s="2" t="s">
        <v>45</v>
      </c>
      <c r="C830" s="2" t="s">
        <v>36</v>
      </c>
      <c r="D830" s="2" t="s">
        <v>37</v>
      </c>
      <c r="E830" s="2" t="s">
        <v>1423</v>
      </c>
      <c r="F830" s="2" t="s">
        <v>21</v>
      </c>
      <c r="G830" s="3" t="str">
        <f t="shared" si="1"/>
        <v>Pending evaluation</v>
      </c>
      <c r="H830" s="4" t="s">
        <v>1483</v>
      </c>
    </row>
    <row r="831" ht="15.75" customHeight="1">
      <c r="A831" s="2" t="s">
        <v>1484</v>
      </c>
      <c r="B831" s="2" t="s">
        <v>45</v>
      </c>
      <c r="C831" s="2" t="s">
        <v>36</v>
      </c>
      <c r="D831" s="2" t="s">
        <v>37</v>
      </c>
      <c r="E831" s="2" t="s">
        <v>1423</v>
      </c>
      <c r="F831" s="2" t="s">
        <v>21</v>
      </c>
      <c r="G831" s="3" t="str">
        <f t="shared" si="1"/>
        <v>Pending evaluation</v>
      </c>
      <c r="H831" s="4" t="s">
        <v>1485</v>
      </c>
    </row>
    <row r="832" ht="15.75" customHeight="1">
      <c r="A832" s="2" t="s">
        <v>1486</v>
      </c>
      <c r="B832" s="2" t="s">
        <v>45</v>
      </c>
      <c r="C832" s="2" t="s">
        <v>36</v>
      </c>
      <c r="D832" s="2" t="s">
        <v>37</v>
      </c>
      <c r="E832" s="2" t="s">
        <v>1423</v>
      </c>
      <c r="F832" s="2" t="s">
        <v>21</v>
      </c>
      <c r="G832" s="3" t="str">
        <f t="shared" si="1"/>
        <v>Pending evaluation</v>
      </c>
      <c r="H832" s="4" t="s">
        <v>1487</v>
      </c>
    </row>
    <row r="833" ht="15.75" customHeight="1">
      <c r="A833" s="2" t="s">
        <v>1488</v>
      </c>
      <c r="B833" s="2" t="s">
        <v>45</v>
      </c>
      <c r="C833" s="2" t="s">
        <v>36</v>
      </c>
      <c r="D833" s="2" t="s">
        <v>37</v>
      </c>
      <c r="E833" s="2" t="s">
        <v>1423</v>
      </c>
      <c r="F833" s="2" t="s">
        <v>21</v>
      </c>
      <c r="G833" s="3" t="str">
        <f t="shared" si="1"/>
        <v>Pending evaluation</v>
      </c>
      <c r="H833" s="4" t="s">
        <v>1489</v>
      </c>
    </row>
    <row r="834" ht="15.75" customHeight="1">
      <c r="A834" s="2" t="s">
        <v>1490</v>
      </c>
      <c r="B834" s="2" t="s">
        <v>45</v>
      </c>
      <c r="C834" s="2" t="s">
        <v>36</v>
      </c>
      <c r="D834" s="2" t="s">
        <v>37</v>
      </c>
      <c r="E834" s="2" t="s">
        <v>1423</v>
      </c>
      <c r="F834" s="2" t="s">
        <v>21</v>
      </c>
      <c r="G834" s="3" t="str">
        <f t="shared" si="1"/>
        <v>Pending evaluation</v>
      </c>
      <c r="H834" s="4" t="s">
        <v>1491</v>
      </c>
    </row>
    <row r="835" ht="15.75" customHeight="1">
      <c r="A835" s="2" t="s">
        <v>1492</v>
      </c>
      <c r="B835" s="2" t="s">
        <v>45</v>
      </c>
      <c r="C835" s="2" t="s">
        <v>36</v>
      </c>
      <c r="D835" s="2" t="s">
        <v>37</v>
      </c>
      <c r="E835" s="2" t="s">
        <v>1423</v>
      </c>
      <c r="F835" s="2" t="s">
        <v>21</v>
      </c>
      <c r="G835" s="3" t="str">
        <f t="shared" si="1"/>
        <v>Pending evaluation</v>
      </c>
      <c r="H835" s="4" t="s">
        <v>1493</v>
      </c>
    </row>
    <row r="836" ht="15.75" customHeight="1">
      <c r="A836" s="2" t="s">
        <v>1494</v>
      </c>
      <c r="B836" s="2" t="s">
        <v>45</v>
      </c>
      <c r="C836" s="2" t="s">
        <v>36</v>
      </c>
      <c r="D836" s="2" t="s">
        <v>37</v>
      </c>
      <c r="E836" s="2" t="s">
        <v>1423</v>
      </c>
      <c r="F836" s="2" t="s">
        <v>21</v>
      </c>
      <c r="G836" s="3" t="str">
        <f t="shared" si="1"/>
        <v>Pending evaluation</v>
      </c>
      <c r="H836" s="4" t="s">
        <v>1495</v>
      </c>
    </row>
    <row r="837" ht="15.75" customHeight="1">
      <c r="A837" s="2" t="s">
        <v>1496</v>
      </c>
      <c r="B837" s="2" t="s">
        <v>45</v>
      </c>
      <c r="C837" s="2" t="s">
        <v>36</v>
      </c>
      <c r="D837" s="2" t="s">
        <v>37</v>
      </c>
      <c r="E837" s="2" t="s">
        <v>1423</v>
      </c>
      <c r="F837" s="2" t="s">
        <v>21</v>
      </c>
      <c r="G837" s="3" t="str">
        <f t="shared" si="1"/>
        <v>Pending evaluation</v>
      </c>
      <c r="H837" s="4" t="s">
        <v>1497</v>
      </c>
    </row>
    <row r="838" ht="15.75" customHeight="1">
      <c r="A838" s="2" t="s">
        <v>1498</v>
      </c>
      <c r="B838" s="2" t="s">
        <v>45</v>
      </c>
      <c r="C838" s="2" t="s">
        <v>36</v>
      </c>
      <c r="D838" s="2" t="s">
        <v>37</v>
      </c>
      <c r="E838" s="2" t="s">
        <v>1423</v>
      </c>
      <c r="F838" s="2" t="s">
        <v>21</v>
      </c>
      <c r="G838" s="3" t="str">
        <f t="shared" si="1"/>
        <v>Pending evaluation</v>
      </c>
      <c r="H838" s="4" t="s">
        <v>1499</v>
      </c>
    </row>
    <row r="839" ht="15.75" customHeight="1">
      <c r="A839" s="2" t="s">
        <v>1500</v>
      </c>
      <c r="B839" s="2" t="s">
        <v>45</v>
      </c>
      <c r="C839" s="2" t="s">
        <v>36</v>
      </c>
      <c r="D839" s="2" t="s">
        <v>37</v>
      </c>
      <c r="E839" s="2" t="s">
        <v>1423</v>
      </c>
      <c r="F839" s="2" t="s">
        <v>21</v>
      </c>
      <c r="G839" s="3" t="str">
        <f t="shared" si="1"/>
        <v>Pending evaluation</v>
      </c>
      <c r="H839" s="4" t="s">
        <v>1501</v>
      </c>
    </row>
    <row r="840" ht="15.75" customHeight="1">
      <c r="A840" s="2" t="s">
        <v>1502</v>
      </c>
      <c r="B840" s="2" t="s">
        <v>45</v>
      </c>
      <c r="C840" s="2" t="s">
        <v>36</v>
      </c>
      <c r="D840" s="2" t="s">
        <v>37</v>
      </c>
      <c r="E840" s="2" t="s">
        <v>1423</v>
      </c>
      <c r="F840" s="2" t="s">
        <v>21</v>
      </c>
      <c r="G840" s="3" t="str">
        <f t="shared" si="1"/>
        <v>Pending evaluation</v>
      </c>
      <c r="H840" s="4" t="s">
        <v>1503</v>
      </c>
    </row>
    <row r="841" ht="15.75" customHeight="1">
      <c r="A841" s="2" t="s">
        <v>1504</v>
      </c>
      <c r="B841" s="2" t="s">
        <v>45</v>
      </c>
      <c r="C841" s="2" t="s">
        <v>36</v>
      </c>
      <c r="D841" s="2" t="s">
        <v>37</v>
      </c>
      <c r="E841" s="2" t="s">
        <v>1423</v>
      </c>
      <c r="F841" s="2" t="s">
        <v>21</v>
      </c>
      <c r="G841" s="3" t="str">
        <f t="shared" si="1"/>
        <v>Pending evaluation</v>
      </c>
      <c r="H841" s="4" t="s">
        <v>1505</v>
      </c>
    </row>
    <row r="842" ht="15.75" customHeight="1">
      <c r="A842" s="2" t="s">
        <v>1506</v>
      </c>
      <c r="B842" s="2" t="s">
        <v>45</v>
      </c>
      <c r="C842" s="2" t="s">
        <v>36</v>
      </c>
      <c r="D842" s="2" t="s">
        <v>37</v>
      </c>
      <c r="E842" s="2" t="s">
        <v>1423</v>
      </c>
      <c r="F842" s="2" t="s">
        <v>21</v>
      </c>
      <c r="G842" s="3" t="str">
        <f t="shared" si="1"/>
        <v>Pending evaluation</v>
      </c>
      <c r="H842" s="4" t="s">
        <v>1507</v>
      </c>
    </row>
    <row r="843" ht="15.75" customHeight="1">
      <c r="A843" s="2" t="s">
        <v>1508</v>
      </c>
      <c r="B843" s="2" t="s">
        <v>45</v>
      </c>
      <c r="C843" s="2" t="s">
        <v>36</v>
      </c>
      <c r="D843" s="2" t="s">
        <v>37</v>
      </c>
      <c r="E843" s="2" t="s">
        <v>1423</v>
      </c>
      <c r="F843" s="2" t="s">
        <v>21</v>
      </c>
      <c r="G843" s="3" t="str">
        <f t="shared" si="1"/>
        <v>Pending evaluation</v>
      </c>
      <c r="H843" s="4" t="s">
        <v>1509</v>
      </c>
    </row>
    <row r="844" ht="15.75" customHeight="1">
      <c r="A844" s="2" t="s">
        <v>1510</v>
      </c>
      <c r="B844" s="2" t="s">
        <v>45</v>
      </c>
      <c r="C844" s="2" t="s">
        <v>36</v>
      </c>
      <c r="D844" s="2" t="s">
        <v>37</v>
      </c>
      <c r="E844" s="2" t="s">
        <v>1423</v>
      </c>
      <c r="F844" s="2" t="s">
        <v>21</v>
      </c>
      <c r="G844" s="3" t="str">
        <f t="shared" si="1"/>
        <v>Pending evaluation</v>
      </c>
      <c r="H844" s="4" t="s">
        <v>1511</v>
      </c>
    </row>
    <row r="845" ht="15.75" customHeight="1">
      <c r="A845" s="2" t="s">
        <v>1512</v>
      </c>
      <c r="B845" s="2" t="s">
        <v>45</v>
      </c>
      <c r="C845" s="2" t="s">
        <v>36</v>
      </c>
      <c r="D845" s="2" t="s">
        <v>37</v>
      </c>
      <c r="E845" s="2" t="s">
        <v>1423</v>
      </c>
      <c r="F845" s="2" t="s">
        <v>21</v>
      </c>
      <c r="G845" s="3" t="str">
        <f t="shared" si="1"/>
        <v>Pending evaluation</v>
      </c>
      <c r="H845" s="4" t="s">
        <v>1513</v>
      </c>
    </row>
    <row r="846" ht="15.75" customHeight="1">
      <c r="A846" s="2" t="s">
        <v>1514</v>
      </c>
      <c r="B846" s="2" t="s">
        <v>45</v>
      </c>
      <c r="C846" s="2" t="s">
        <v>36</v>
      </c>
      <c r="D846" s="2" t="s">
        <v>37</v>
      </c>
      <c r="E846" s="2" t="s">
        <v>1423</v>
      </c>
      <c r="F846" s="2" t="s">
        <v>21</v>
      </c>
      <c r="G846" s="3" t="str">
        <f t="shared" si="1"/>
        <v>Pending evaluation</v>
      </c>
      <c r="H846" s="4" t="s">
        <v>1515</v>
      </c>
    </row>
    <row r="847" ht="15.75" customHeight="1">
      <c r="A847" s="2" t="s">
        <v>1516</v>
      </c>
      <c r="B847" s="2" t="s">
        <v>45</v>
      </c>
      <c r="C847" s="2" t="s">
        <v>36</v>
      </c>
      <c r="D847" s="2" t="s">
        <v>37</v>
      </c>
      <c r="E847" s="2" t="s">
        <v>1423</v>
      </c>
      <c r="F847" s="2" t="s">
        <v>21</v>
      </c>
      <c r="G847" s="3" t="str">
        <f t="shared" si="1"/>
        <v>Pending evaluation</v>
      </c>
      <c r="H847" s="4" t="s">
        <v>1517</v>
      </c>
    </row>
    <row r="848" ht="15.75" customHeight="1">
      <c r="A848" s="2" t="s">
        <v>1518</v>
      </c>
      <c r="B848" s="2" t="s">
        <v>45</v>
      </c>
      <c r="C848" s="2" t="s">
        <v>36</v>
      </c>
      <c r="D848" s="2" t="s">
        <v>37</v>
      </c>
      <c r="E848" s="2" t="s">
        <v>1423</v>
      </c>
      <c r="F848" s="2" t="s">
        <v>21</v>
      </c>
      <c r="G848" s="3" t="str">
        <f t="shared" si="1"/>
        <v>Pending evaluation</v>
      </c>
      <c r="H848" s="4" t="s">
        <v>1519</v>
      </c>
    </row>
    <row r="849" ht="15.75" customHeight="1">
      <c r="A849" s="2" t="s">
        <v>1520</v>
      </c>
      <c r="B849" s="2" t="s">
        <v>45</v>
      </c>
      <c r="C849" s="2" t="s">
        <v>36</v>
      </c>
      <c r="D849" s="2" t="s">
        <v>37</v>
      </c>
      <c r="E849" s="2" t="s">
        <v>1423</v>
      </c>
      <c r="F849" s="2" t="s">
        <v>21</v>
      </c>
      <c r="G849" s="3" t="str">
        <f t="shared" si="1"/>
        <v>Pending evaluation</v>
      </c>
      <c r="H849" s="4" t="s">
        <v>1521</v>
      </c>
    </row>
    <row r="850" ht="15.75" customHeight="1">
      <c r="A850" s="2" t="s">
        <v>1522</v>
      </c>
      <c r="B850" s="2" t="s">
        <v>45</v>
      </c>
      <c r="C850" s="2" t="s">
        <v>36</v>
      </c>
      <c r="D850" s="2" t="s">
        <v>37</v>
      </c>
      <c r="E850" s="2" t="s">
        <v>1423</v>
      </c>
      <c r="F850" s="2" t="s">
        <v>21</v>
      </c>
      <c r="G850" s="3" t="str">
        <f t="shared" si="1"/>
        <v>Pending evaluation</v>
      </c>
      <c r="H850" s="4" t="s">
        <v>1523</v>
      </c>
    </row>
    <row r="851" ht="15.75" customHeight="1">
      <c r="A851" s="2" t="s">
        <v>1524</v>
      </c>
      <c r="B851" s="2" t="s">
        <v>45</v>
      </c>
      <c r="C851" s="2" t="s">
        <v>36</v>
      </c>
      <c r="D851" s="2" t="s">
        <v>37</v>
      </c>
      <c r="E851" s="2" t="s">
        <v>1423</v>
      </c>
      <c r="F851" s="2" t="s">
        <v>21</v>
      </c>
      <c r="G851" s="3" t="str">
        <f t="shared" si="1"/>
        <v>Pending evaluation</v>
      </c>
      <c r="H851" s="4" t="s">
        <v>1525</v>
      </c>
    </row>
    <row r="852" ht="15.75" customHeight="1">
      <c r="A852" s="2" t="s">
        <v>1526</v>
      </c>
      <c r="B852" s="2" t="s">
        <v>45</v>
      </c>
      <c r="C852" s="2" t="s">
        <v>36</v>
      </c>
      <c r="D852" s="2" t="s">
        <v>37</v>
      </c>
      <c r="E852" s="2" t="s">
        <v>1423</v>
      </c>
      <c r="F852" s="2" t="s">
        <v>21</v>
      </c>
      <c r="G852" s="3" t="str">
        <f t="shared" si="1"/>
        <v>Pending evaluation</v>
      </c>
      <c r="H852" s="4" t="s">
        <v>1527</v>
      </c>
    </row>
    <row r="853" ht="15.75" customHeight="1">
      <c r="A853" s="2" t="s">
        <v>1528</v>
      </c>
      <c r="B853" s="2" t="s">
        <v>45</v>
      </c>
      <c r="C853" s="2" t="s">
        <v>36</v>
      </c>
      <c r="D853" s="2" t="s">
        <v>37</v>
      </c>
      <c r="E853" s="2" t="s">
        <v>1423</v>
      </c>
      <c r="F853" s="2" t="s">
        <v>21</v>
      </c>
      <c r="G853" s="3" t="str">
        <f t="shared" si="1"/>
        <v>Pending evaluation</v>
      </c>
      <c r="H853" s="4" t="s">
        <v>1529</v>
      </c>
    </row>
    <row r="854" ht="15.75" customHeight="1">
      <c r="A854" s="2" t="s">
        <v>1530</v>
      </c>
      <c r="B854" s="2" t="s">
        <v>45</v>
      </c>
      <c r="C854" s="2" t="s">
        <v>36</v>
      </c>
      <c r="D854" s="2" t="s">
        <v>37</v>
      </c>
      <c r="E854" s="2" t="s">
        <v>1423</v>
      </c>
      <c r="F854" s="2" t="s">
        <v>21</v>
      </c>
      <c r="G854" s="3" t="str">
        <f t="shared" si="1"/>
        <v>Pending evaluation</v>
      </c>
      <c r="H854" s="4" t="s">
        <v>1531</v>
      </c>
    </row>
    <row r="855" ht="15.75" customHeight="1">
      <c r="A855" s="2" t="s">
        <v>1532</v>
      </c>
      <c r="B855" s="2" t="s">
        <v>45</v>
      </c>
      <c r="C855" s="2" t="s">
        <v>36</v>
      </c>
      <c r="D855" s="2" t="s">
        <v>37</v>
      </c>
      <c r="E855" s="2" t="s">
        <v>1423</v>
      </c>
      <c r="F855" s="2" t="s">
        <v>21</v>
      </c>
      <c r="G855" s="3" t="str">
        <f t="shared" si="1"/>
        <v>Pending evaluation</v>
      </c>
      <c r="H855" s="4" t="s">
        <v>1533</v>
      </c>
    </row>
    <row r="856" ht="15.75" customHeight="1">
      <c r="A856" s="2" t="s">
        <v>1534</v>
      </c>
      <c r="B856" s="2" t="s">
        <v>45</v>
      </c>
      <c r="C856" s="2" t="s">
        <v>36</v>
      </c>
      <c r="D856" s="2" t="s">
        <v>37</v>
      </c>
      <c r="E856" s="2" t="s">
        <v>1423</v>
      </c>
      <c r="F856" s="2" t="s">
        <v>21</v>
      </c>
      <c r="G856" s="3" t="str">
        <f t="shared" si="1"/>
        <v>Pending evaluation</v>
      </c>
      <c r="H856" s="4" t="s">
        <v>1535</v>
      </c>
    </row>
    <row r="857" ht="15.75" customHeight="1">
      <c r="A857" s="2" t="s">
        <v>1536</v>
      </c>
      <c r="B857" s="2" t="s">
        <v>45</v>
      </c>
      <c r="C857" s="2" t="s">
        <v>36</v>
      </c>
      <c r="D857" s="2" t="s">
        <v>37</v>
      </c>
      <c r="E857" s="2" t="s">
        <v>1423</v>
      </c>
      <c r="F857" s="2" t="s">
        <v>21</v>
      </c>
      <c r="G857" s="3" t="str">
        <f t="shared" si="1"/>
        <v>Pending evaluation</v>
      </c>
      <c r="H857" s="4" t="s">
        <v>1537</v>
      </c>
    </row>
    <row r="858" ht="15.75" customHeight="1">
      <c r="A858" s="2" t="s">
        <v>1538</v>
      </c>
      <c r="B858" s="2" t="s">
        <v>45</v>
      </c>
      <c r="C858" s="2" t="s">
        <v>36</v>
      </c>
      <c r="D858" s="2" t="s">
        <v>37</v>
      </c>
      <c r="E858" s="2" t="s">
        <v>1423</v>
      </c>
      <c r="F858" s="2" t="s">
        <v>21</v>
      </c>
      <c r="G858" s="3" t="str">
        <f t="shared" si="1"/>
        <v>Pending evaluation</v>
      </c>
      <c r="H858" s="4" t="s">
        <v>1539</v>
      </c>
    </row>
    <row r="859" ht="15.75" customHeight="1">
      <c r="A859" s="2" t="s">
        <v>1540</v>
      </c>
      <c r="B859" s="2" t="s">
        <v>45</v>
      </c>
      <c r="C859" s="2" t="s">
        <v>36</v>
      </c>
      <c r="D859" s="2" t="s">
        <v>37</v>
      </c>
      <c r="E859" s="2" t="s">
        <v>1423</v>
      </c>
      <c r="F859" s="2" t="s">
        <v>21</v>
      </c>
      <c r="G859" s="3" t="str">
        <f t="shared" si="1"/>
        <v>Pending evaluation</v>
      </c>
      <c r="H859" s="4" t="s">
        <v>1541</v>
      </c>
    </row>
    <row r="860" ht="15.75" customHeight="1">
      <c r="A860" s="2" t="s">
        <v>1542</v>
      </c>
      <c r="B860" s="2" t="s">
        <v>45</v>
      </c>
      <c r="C860" s="2" t="s">
        <v>36</v>
      </c>
      <c r="D860" s="2" t="s">
        <v>37</v>
      </c>
      <c r="E860" s="2" t="s">
        <v>1423</v>
      </c>
      <c r="F860" s="2" t="s">
        <v>21</v>
      </c>
      <c r="G860" s="3" t="str">
        <f t="shared" si="1"/>
        <v>Pending evaluation</v>
      </c>
      <c r="H860" s="4" t="s">
        <v>1543</v>
      </c>
    </row>
    <row r="861" ht="15.75" customHeight="1">
      <c r="A861" s="2" t="s">
        <v>1544</v>
      </c>
      <c r="B861" s="2" t="s">
        <v>45</v>
      </c>
      <c r="C861" s="2" t="s">
        <v>36</v>
      </c>
      <c r="D861" s="2" t="s">
        <v>37</v>
      </c>
      <c r="E861" s="2" t="s">
        <v>1423</v>
      </c>
      <c r="F861" s="2" t="s">
        <v>21</v>
      </c>
      <c r="G861" s="3" t="str">
        <f t="shared" si="1"/>
        <v>Pending evaluation</v>
      </c>
      <c r="H861" s="4" t="s">
        <v>1545</v>
      </c>
    </row>
    <row r="862" ht="15.75" customHeight="1">
      <c r="A862" s="2" t="s">
        <v>1546</v>
      </c>
      <c r="B862" s="2" t="s">
        <v>45</v>
      </c>
      <c r="C862" s="2" t="s">
        <v>36</v>
      </c>
      <c r="D862" s="2" t="s">
        <v>37</v>
      </c>
      <c r="E862" s="2" t="s">
        <v>1423</v>
      </c>
      <c r="F862" s="2" t="s">
        <v>21</v>
      </c>
      <c r="G862" s="3" t="str">
        <f t="shared" si="1"/>
        <v>Pending evaluation</v>
      </c>
      <c r="H862" s="4" t="s">
        <v>1547</v>
      </c>
    </row>
    <row r="863" ht="15.75" customHeight="1">
      <c r="A863" s="2" t="s">
        <v>1548</v>
      </c>
      <c r="B863" s="2" t="s">
        <v>45</v>
      </c>
      <c r="C863" s="2" t="s">
        <v>36</v>
      </c>
      <c r="D863" s="2" t="s">
        <v>37</v>
      </c>
      <c r="E863" s="2" t="s">
        <v>1423</v>
      </c>
      <c r="F863" s="2" t="s">
        <v>21</v>
      </c>
      <c r="G863" s="3" t="str">
        <f t="shared" si="1"/>
        <v>Pending evaluation</v>
      </c>
      <c r="H863" s="4" t="s">
        <v>1549</v>
      </c>
    </row>
    <row r="864" ht="15.75" customHeight="1">
      <c r="A864" s="2" t="s">
        <v>1550</v>
      </c>
      <c r="B864" s="2" t="s">
        <v>45</v>
      </c>
      <c r="C864" s="2" t="s">
        <v>36</v>
      </c>
      <c r="D864" s="2" t="s">
        <v>37</v>
      </c>
      <c r="E864" s="2" t="s">
        <v>1423</v>
      </c>
      <c r="F864" s="2" t="s">
        <v>21</v>
      </c>
      <c r="G864" s="3" t="str">
        <f t="shared" si="1"/>
        <v>Pending evaluation</v>
      </c>
      <c r="H864" s="4" t="s">
        <v>1551</v>
      </c>
    </row>
    <row r="865" ht="15.75" customHeight="1">
      <c r="A865" s="2" t="s">
        <v>1552</v>
      </c>
      <c r="B865" s="2" t="s">
        <v>45</v>
      </c>
      <c r="C865" s="2" t="s">
        <v>36</v>
      </c>
      <c r="D865" s="2" t="s">
        <v>37</v>
      </c>
      <c r="E865" s="2" t="s">
        <v>1423</v>
      </c>
      <c r="F865" s="2" t="s">
        <v>21</v>
      </c>
      <c r="G865" s="3" t="str">
        <f t="shared" si="1"/>
        <v>Pending evaluation</v>
      </c>
      <c r="H865" s="4" t="s">
        <v>1553</v>
      </c>
    </row>
    <row r="866" ht="15.75" customHeight="1">
      <c r="A866" s="2" t="s">
        <v>1554</v>
      </c>
      <c r="B866" s="2" t="s">
        <v>45</v>
      </c>
      <c r="C866" s="2" t="s">
        <v>36</v>
      </c>
      <c r="D866" s="2" t="s">
        <v>37</v>
      </c>
      <c r="E866" s="2" t="s">
        <v>1423</v>
      </c>
      <c r="F866" s="2" t="s">
        <v>21</v>
      </c>
      <c r="G866" s="3" t="str">
        <f t="shared" si="1"/>
        <v>Pending evaluation</v>
      </c>
      <c r="H866" s="4" t="s">
        <v>1555</v>
      </c>
    </row>
    <row r="867" ht="15.75" customHeight="1">
      <c r="A867" s="2" t="s">
        <v>1556</v>
      </c>
      <c r="B867" s="2" t="s">
        <v>45</v>
      </c>
      <c r="C867" s="2" t="s">
        <v>36</v>
      </c>
      <c r="D867" s="2" t="s">
        <v>37</v>
      </c>
      <c r="E867" s="2" t="s">
        <v>1423</v>
      </c>
      <c r="F867" s="2" t="s">
        <v>21</v>
      </c>
      <c r="G867" s="3" t="str">
        <f t="shared" si="1"/>
        <v>Pending evaluation</v>
      </c>
      <c r="H867" s="4" t="s">
        <v>1557</v>
      </c>
    </row>
    <row r="868" ht="15.75" customHeight="1">
      <c r="A868" s="2" t="s">
        <v>1558</v>
      </c>
      <c r="B868" s="2" t="s">
        <v>45</v>
      </c>
      <c r="C868" s="2" t="s">
        <v>36</v>
      </c>
      <c r="D868" s="2" t="s">
        <v>37</v>
      </c>
      <c r="E868" s="2" t="s">
        <v>1423</v>
      </c>
      <c r="F868" s="2" t="s">
        <v>21</v>
      </c>
      <c r="G868" s="3" t="str">
        <f t="shared" si="1"/>
        <v>Pending evaluation</v>
      </c>
      <c r="H868" s="4" t="s">
        <v>1559</v>
      </c>
    </row>
    <row r="869" ht="15.75" customHeight="1">
      <c r="A869" s="2" t="s">
        <v>1560</v>
      </c>
      <c r="B869" s="2" t="s">
        <v>45</v>
      </c>
      <c r="C869" s="2" t="s">
        <v>36</v>
      </c>
      <c r="D869" s="2" t="s">
        <v>37</v>
      </c>
      <c r="E869" s="2" t="s">
        <v>1423</v>
      </c>
      <c r="F869" s="2" t="s">
        <v>21</v>
      </c>
      <c r="G869" s="3" t="str">
        <f t="shared" si="1"/>
        <v>Pending evaluation</v>
      </c>
      <c r="H869" s="4" t="s">
        <v>1561</v>
      </c>
    </row>
    <row r="870" ht="15.75" customHeight="1">
      <c r="A870" s="2" t="s">
        <v>1562</v>
      </c>
      <c r="B870" s="2" t="s">
        <v>45</v>
      </c>
      <c r="C870" s="2" t="s">
        <v>36</v>
      </c>
      <c r="D870" s="2" t="s">
        <v>37</v>
      </c>
      <c r="E870" s="2" t="s">
        <v>1423</v>
      </c>
      <c r="F870" s="2" t="s">
        <v>21</v>
      </c>
      <c r="G870" s="3" t="str">
        <f t="shared" si="1"/>
        <v>Pending evaluation</v>
      </c>
      <c r="H870" s="4" t="s">
        <v>1563</v>
      </c>
    </row>
    <row r="871" ht="15.75" customHeight="1">
      <c r="A871" s="2" t="s">
        <v>1564</v>
      </c>
      <c r="B871" s="2" t="s">
        <v>45</v>
      </c>
      <c r="C871" s="2" t="s">
        <v>36</v>
      </c>
      <c r="D871" s="2" t="s">
        <v>37</v>
      </c>
      <c r="E871" s="2" t="s">
        <v>1423</v>
      </c>
      <c r="F871" s="2" t="s">
        <v>21</v>
      </c>
      <c r="G871" s="3" t="str">
        <f t="shared" si="1"/>
        <v>Pending evaluation</v>
      </c>
      <c r="H871" s="4" t="s">
        <v>1565</v>
      </c>
    </row>
    <row r="872" ht="15.75" customHeight="1">
      <c r="A872" s="2" t="s">
        <v>1566</v>
      </c>
      <c r="B872" s="2" t="s">
        <v>45</v>
      </c>
      <c r="C872" s="2" t="s">
        <v>36</v>
      </c>
      <c r="D872" s="2" t="s">
        <v>37</v>
      </c>
      <c r="E872" s="2" t="s">
        <v>1423</v>
      </c>
      <c r="F872" s="2" t="s">
        <v>21</v>
      </c>
      <c r="G872" s="3" t="str">
        <f t="shared" si="1"/>
        <v>Pending evaluation</v>
      </c>
      <c r="H872" s="4" t="s">
        <v>1567</v>
      </c>
    </row>
    <row r="873" ht="15.75" customHeight="1">
      <c r="A873" s="2" t="s">
        <v>1568</v>
      </c>
      <c r="B873" s="2" t="s">
        <v>45</v>
      </c>
      <c r="C873" s="2" t="s">
        <v>36</v>
      </c>
      <c r="D873" s="2" t="s">
        <v>37</v>
      </c>
      <c r="E873" s="2" t="s">
        <v>1423</v>
      </c>
      <c r="F873" s="2" t="s">
        <v>21</v>
      </c>
      <c r="G873" s="3" t="str">
        <f t="shared" si="1"/>
        <v>Pending evaluation</v>
      </c>
      <c r="H873" s="4" t="s">
        <v>1569</v>
      </c>
    </row>
    <row r="874" ht="15.75" customHeight="1">
      <c r="A874" s="2" t="s">
        <v>1570</v>
      </c>
      <c r="B874" s="2" t="s">
        <v>45</v>
      </c>
      <c r="C874" s="2" t="s">
        <v>36</v>
      </c>
      <c r="D874" s="2" t="s">
        <v>37</v>
      </c>
      <c r="E874" s="2" t="s">
        <v>1423</v>
      </c>
      <c r="F874" s="2" t="s">
        <v>21</v>
      </c>
      <c r="G874" s="3" t="str">
        <f t="shared" si="1"/>
        <v>Pending evaluation</v>
      </c>
      <c r="H874" s="4" t="s">
        <v>1571</v>
      </c>
    </row>
    <row r="875" ht="15.75" customHeight="1">
      <c r="A875" s="2" t="s">
        <v>1572</v>
      </c>
      <c r="B875" s="2" t="s">
        <v>45</v>
      </c>
      <c r="C875" s="2" t="s">
        <v>36</v>
      </c>
      <c r="D875" s="2" t="s">
        <v>37</v>
      </c>
      <c r="E875" s="2" t="s">
        <v>1423</v>
      </c>
      <c r="F875" s="2" t="s">
        <v>21</v>
      </c>
      <c r="G875" s="3" t="str">
        <f t="shared" si="1"/>
        <v>Pending evaluation</v>
      </c>
      <c r="H875" s="4" t="s">
        <v>1573</v>
      </c>
    </row>
    <row r="876" ht="15.75" customHeight="1">
      <c r="A876" s="2" t="s">
        <v>1574</v>
      </c>
      <c r="B876" s="2" t="s">
        <v>45</v>
      </c>
      <c r="C876" s="2" t="s">
        <v>36</v>
      </c>
      <c r="D876" s="2" t="s">
        <v>37</v>
      </c>
      <c r="E876" s="2" t="s">
        <v>1423</v>
      </c>
      <c r="F876" s="2" t="s">
        <v>21</v>
      </c>
      <c r="G876" s="3" t="str">
        <f t="shared" si="1"/>
        <v>Pending evaluation</v>
      </c>
      <c r="H876" s="4" t="s">
        <v>1575</v>
      </c>
    </row>
    <row r="877" ht="15.75" customHeight="1">
      <c r="A877" s="2" t="s">
        <v>1576</v>
      </c>
      <c r="B877" s="2" t="s">
        <v>45</v>
      </c>
      <c r="C877" s="2" t="s">
        <v>36</v>
      </c>
      <c r="D877" s="2" t="s">
        <v>37</v>
      </c>
      <c r="E877" s="2" t="s">
        <v>1423</v>
      </c>
      <c r="F877" s="2" t="s">
        <v>21</v>
      </c>
      <c r="G877" s="3" t="str">
        <f t="shared" si="1"/>
        <v>Pending evaluation</v>
      </c>
      <c r="H877" s="4" t="s">
        <v>1577</v>
      </c>
    </row>
    <row r="878" ht="15.75" customHeight="1">
      <c r="A878" s="2" t="s">
        <v>1578</v>
      </c>
      <c r="B878" s="2" t="s">
        <v>45</v>
      </c>
      <c r="C878" s="2" t="s">
        <v>36</v>
      </c>
      <c r="D878" s="2" t="s">
        <v>37</v>
      </c>
      <c r="E878" s="2" t="s">
        <v>1423</v>
      </c>
      <c r="F878" s="2" t="s">
        <v>21</v>
      </c>
      <c r="G878" s="3" t="str">
        <f t="shared" si="1"/>
        <v>Pending evaluation</v>
      </c>
      <c r="H878" s="4" t="s">
        <v>1579</v>
      </c>
    </row>
    <row r="879" ht="15.75" customHeight="1">
      <c r="A879" s="2" t="s">
        <v>1580</v>
      </c>
      <c r="B879" s="2" t="s">
        <v>45</v>
      </c>
      <c r="C879" s="2" t="s">
        <v>36</v>
      </c>
      <c r="D879" s="2" t="s">
        <v>37</v>
      </c>
      <c r="E879" s="2" t="s">
        <v>1423</v>
      </c>
      <c r="F879" s="2" t="s">
        <v>21</v>
      </c>
      <c r="G879" s="3" t="str">
        <f t="shared" si="1"/>
        <v>Pending evaluation</v>
      </c>
      <c r="H879" s="4" t="s">
        <v>1581</v>
      </c>
    </row>
    <row r="880" ht="15.75" customHeight="1">
      <c r="A880" s="2" t="s">
        <v>1582</v>
      </c>
      <c r="B880" s="2" t="s">
        <v>45</v>
      </c>
      <c r="C880" s="2" t="s">
        <v>36</v>
      </c>
      <c r="D880" s="2" t="s">
        <v>37</v>
      </c>
      <c r="E880" s="2" t="s">
        <v>1423</v>
      </c>
      <c r="F880" s="2" t="s">
        <v>21</v>
      </c>
      <c r="G880" s="3" t="str">
        <f t="shared" si="1"/>
        <v>Pending evaluation</v>
      </c>
      <c r="H880" s="4" t="s">
        <v>1583</v>
      </c>
    </row>
    <row r="881" ht="15.75" customHeight="1">
      <c r="A881" s="2" t="s">
        <v>1584</v>
      </c>
      <c r="B881" s="2" t="s">
        <v>45</v>
      </c>
      <c r="C881" s="2" t="s">
        <v>36</v>
      </c>
      <c r="D881" s="2" t="s">
        <v>37</v>
      </c>
      <c r="E881" s="2" t="s">
        <v>1423</v>
      </c>
      <c r="F881" s="2" t="s">
        <v>21</v>
      </c>
      <c r="G881" s="3" t="str">
        <f t="shared" si="1"/>
        <v>Pending evaluation</v>
      </c>
      <c r="H881" s="4" t="s">
        <v>1585</v>
      </c>
    </row>
    <row r="882" ht="15.75" customHeight="1">
      <c r="A882" s="2" t="s">
        <v>1586</v>
      </c>
      <c r="B882" s="2" t="s">
        <v>45</v>
      </c>
      <c r="C882" s="2" t="s">
        <v>36</v>
      </c>
      <c r="D882" s="2" t="s">
        <v>37</v>
      </c>
      <c r="E882" s="2" t="s">
        <v>1423</v>
      </c>
      <c r="F882" s="2" t="s">
        <v>21</v>
      </c>
      <c r="G882" s="3" t="str">
        <f t="shared" si="1"/>
        <v>Pending evaluation</v>
      </c>
      <c r="H882" s="4" t="s">
        <v>1587</v>
      </c>
    </row>
    <row r="883" ht="15.75" customHeight="1">
      <c r="A883" s="2" t="s">
        <v>1588</v>
      </c>
      <c r="B883" s="2" t="s">
        <v>45</v>
      </c>
      <c r="C883" s="2" t="s">
        <v>36</v>
      </c>
      <c r="D883" s="2" t="s">
        <v>37</v>
      </c>
      <c r="E883" s="2" t="s">
        <v>1423</v>
      </c>
      <c r="F883" s="2" t="s">
        <v>21</v>
      </c>
      <c r="G883" s="3" t="str">
        <f t="shared" si="1"/>
        <v>Pending evaluation</v>
      </c>
      <c r="H883" s="4" t="s">
        <v>1589</v>
      </c>
    </row>
    <row r="884" ht="15.75" customHeight="1">
      <c r="A884" s="2" t="s">
        <v>1590</v>
      </c>
      <c r="B884" s="2" t="s">
        <v>45</v>
      </c>
      <c r="C884" s="2" t="s">
        <v>36</v>
      </c>
      <c r="D884" s="2" t="s">
        <v>37</v>
      </c>
      <c r="E884" s="2" t="s">
        <v>1423</v>
      </c>
      <c r="F884" s="2" t="s">
        <v>21</v>
      </c>
      <c r="G884" s="3" t="str">
        <f t="shared" si="1"/>
        <v>Pending evaluation</v>
      </c>
      <c r="H884" s="4" t="s">
        <v>1591</v>
      </c>
    </row>
    <row r="885" ht="15.75" customHeight="1">
      <c r="A885" s="2" t="s">
        <v>1592</v>
      </c>
      <c r="B885" s="2" t="s">
        <v>45</v>
      </c>
      <c r="C885" s="2" t="s">
        <v>36</v>
      </c>
      <c r="D885" s="2" t="s">
        <v>37</v>
      </c>
      <c r="E885" s="2" t="s">
        <v>1423</v>
      </c>
      <c r="F885" s="2" t="s">
        <v>21</v>
      </c>
      <c r="G885" s="3" t="str">
        <f t="shared" si="1"/>
        <v>Pending evaluation</v>
      </c>
      <c r="H885" s="4" t="s">
        <v>1593</v>
      </c>
    </row>
    <row r="886" ht="15.75" customHeight="1">
      <c r="A886" s="2" t="s">
        <v>1594</v>
      </c>
      <c r="B886" s="2" t="s">
        <v>45</v>
      </c>
      <c r="C886" s="2" t="s">
        <v>36</v>
      </c>
      <c r="D886" s="2" t="s">
        <v>37</v>
      </c>
      <c r="E886" s="2" t="s">
        <v>1423</v>
      </c>
      <c r="F886" s="2" t="s">
        <v>21</v>
      </c>
      <c r="G886" s="3" t="str">
        <f t="shared" si="1"/>
        <v>Pending evaluation</v>
      </c>
      <c r="H886" s="4" t="s">
        <v>1595</v>
      </c>
    </row>
    <row r="887" ht="15.75" customHeight="1">
      <c r="A887" s="2" t="s">
        <v>1596</v>
      </c>
      <c r="B887" s="2" t="s">
        <v>45</v>
      </c>
      <c r="C887" s="2" t="s">
        <v>36</v>
      </c>
      <c r="D887" s="2" t="s">
        <v>37</v>
      </c>
      <c r="E887" s="2" t="s">
        <v>1423</v>
      </c>
      <c r="F887" s="2" t="s">
        <v>21</v>
      </c>
      <c r="G887" s="3" t="str">
        <f t="shared" si="1"/>
        <v>Pending evaluation</v>
      </c>
      <c r="H887" s="4" t="s">
        <v>1597</v>
      </c>
    </row>
    <row r="888" ht="15.75" customHeight="1">
      <c r="A888" s="2" t="s">
        <v>1598</v>
      </c>
      <c r="B888" s="2" t="s">
        <v>45</v>
      </c>
      <c r="C888" s="2" t="s">
        <v>36</v>
      </c>
      <c r="D888" s="2" t="s">
        <v>37</v>
      </c>
      <c r="E888" s="2" t="s">
        <v>1423</v>
      </c>
      <c r="F888" s="2" t="s">
        <v>21</v>
      </c>
      <c r="G888" s="3" t="str">
        <f t="shared" si="1"/>
        <v>Pending evaluation</v>
      </c>
      <c r="H888" s="4" t="s">
        <v>1599</v>
      </c>
    </row>
    <row r="889" ht="15.75" customHeight="1">
      <c r="A889" s="2" t="s">
        <v>1600</v>
      </c>
      <c r="B889" s="2" t="s">
        <v>45</v>
      </c>
      <c r="C889" s="2" t="s">
        <v>36</v>
      </c>
      <c r="D889" s="2" t="s">
        <v>37</v>
      </c>
      <c r="E889" s="2" t="s">
        <v>1423</v>
      </c>
      <c r="F889" s="2" t="s">
        <v>21</v>
      </c>
      <c r="G889" s="3" t="str">
        <f t="shared" si="1"/>
        <v>Pending evaluation</v>
      </c>
      <c r="H889" s="4" t="s">
        <v>1601</v>
      </c>
    </row>
    <row r="890" ht="15.75" customHeight="1">
      <c r="A890" s="2" t="s">
        <v>1602</v>
      </c>
      <c r="B890" s="2" t="s">
        <v>45</v>
      </c>
      <c r="C890" s="2" t="s">
        <v>36</v>
      </c>
      <c r="D890" s="2" t="s">
        <v>37</v>
      </c>
      <c r="E890" s="2" t="s">
        <v>1423</v>
      </c>
      <c r="F890" s="2" t="s">
        <v>21</v>
      </c>
      <c r="G890" s="3" t="str">
        <f t="shared" si="1"/>
        <v>Pending evaluation</v>
      </c>
      <c r="H890" s="4" t="s">
        <v>1603</v>
      </c>
    </row>
    <row r="891" ht="15.75" customHeight="1">
      <c r="A891" s="2" t="s">
        <v>1604</v>
      </c>
      <c r="B891" s="2" t="s">
        <v>45</v>
      </c>
      <c r="C891" s="2" t="s">
        <v>36</v>
      </c>
      <c r="D891" s="2" t="s">
        <v>37</v>
      </c>
      <c r="E891" s="2" t="s">
        <v>1423</v>
      </c>
      <c r="F891" s="2" t="s">
        <v>21</v>
      </c>
      <c r="G891" s="3" t="str">
        <f t="shared" si="1"/>
        <v>Pending evaluation</v>
      </c>
      <c r="H891" s="4" t="s">
        <v>1605</v>
      </c>
    </row>
    <row r="892" ht="15.75" customHeight="1">
      <c r="A892" s="2" t="s">
        <v>1606</v>
      </c>
      <c r="B892" s="2" t="s">
        <v>45</v>
      </c>
      <c r="C892" s="2" t="s">
        <v>36</v>
      </c>
      <c r="D892" s="2" t="s">
        <v>37</v>
      </c>
      <c r="E892" s="2" t="s">
        <v>1423</v>
      </c>
      <c r="F892" s="2" t="s">
        <v>21</v>
      </c>
      <c r="G892" s="3" t="str">
        <f t="shared" si="1"/>
        <v>Pending evaluation</v>
      </c>
      <c r="H892" s="4" t="s">
        <v>1607</v>
      </c>
    </row>
    <row r="893" ht="15.75" customHeight="1">
      <c r="A893" s="2" t="s">
        <v>1608</v>
      </c>
      <c r="B893" s="2" t="s">
        <v>45</v>
      </c>
      <c r="C893" s="2" t="s">
        <v>36</v>
      </c>
      <c r="D893" s="2" t="s">
        <v>37</v>
      </c>
      <c r="E893" s="2" t="s">
        <v>1423</v>
      </c>
      <c r="F893" s="2" t="s">
        <v>21</v>
      </c>
      <c r="G893" s="3" t="str">
        <f t="shared" si="1"/>
        <v>Pending evaluation</v>
      </c>
      <c r="H893" s="4" t="s">
        <v>1609</v>
      </c>
    </row>
    <row r="894" ht="15.75" customHeight="1">
      <c r="A894" s="2" t="s">
        <v>1610</v>
      </c>
      <c r="B894" s="2" t="s">
        <v>45</v>
      </c>
      <c r="C894" s="2" t="s">
        <v>36</v>
      </c>
      <c r="D894" s="2" t="s">
        <v>37</v>
      </c>
      <c r="E894" s="2" t="s">
        <v>1423</v>
      </c>
      <c r="F894" s="2" t="s">
        <v>21</v>
      </c>
      <c r="G894" s="3" t="str">
        <f t="shared" si="1"/>
        <v>Pending evaluation</v>
      </c>
      <c r="H894" s="4" t="s">
        <v>1611</v>
      </c>
    </row>
    <row r="895" ht="15.75" customHeight="1">
      <c r="A895" s="2" t="s">
        <v>1612</v>
      </c>
      <c r="B895" s="2" t="s">
        <v>45</v>
      </c>
      <c r="C895" s="2" t="s">
        <v>36</v>
      </c>
      <c r="D895" s="2" t="s">
        <v>37</v>
      </c>
      <c r="E895" s="2" t="s">
        <v>1423</v>
      </c>
      <c r="F895" s="2" t="s">
        <v>21</v>
      </c>
      <c r="G895" s="3" t="str">
        <f t="shared" si="1"/>
        <v>Pending evaluation</v>
      </c>
      <c r="H895" s="4" t="s">
        <v>1613</v>
      </c>
    </row>
    <row r="896" ht="15.75" customHeight="1">
      <c r="A896" s="2" t="s">
        <v>1614</v>
      </c>
      <c r="B896" s="2" t="s">
        <v>45</v>
      </c>
      <c r="C896" s="2" t="s">
        <v>36</v>
      </c>
      <c r="D896" s="2" t="s">
        <v>37</v>
      </c>
      <c r="E896" s="2" t="s">
        <v>1423</v>
      </c>
      <c r="F896" s="2" t="s">
        <v>21</v>
      </c>
      <c r="G896" s="3" t="str">
        <f t="shared" si="1"/>
        <v>Pending evaluation</v>
      </c>
      <c r="H896" s="4" t="s">
        <v>1615</v>
      </c>
    </row>
    <row r="897" ht="15.75" customHeight="1">
      <c r="A897" s="2" t="s">
        <v>1616</v>
      </c>
      <c r="B897" s="2" t="s">
        <v>45</v>
      </c>
      <c r="C897" s="2" t="s">
        <v>36</v>
      </c>
      <c r="D897" s="2" t="s">
        <v>37</v>
      </c>
      <c r="E897" s="2" t="s">
        <v>1423</v>
      </c>
      <c r="F897" s="2" t="s">
        <v>21</v>
      </c>
      <c r="G897" s="3" t="str">
        <f t="shared" si="1"/>
        <v>Pending evaluation</v>
      </c>
      <c r="H897" s="4" t="s">
        <v>1617</v>
      </c>
    </row>
    <row r="898" ht="15.75" customHeight="1">
      <c r="A898" s="2" t="s">
        <v>1618</v>
      </c>
      <c r="B898" s="2" t="s">
        <v>45</v>
      </c>
      <c r="C898" s="2" t="s">
        <v>36</v>
      </c>
      <c r="D898" s="2" t="s">
        <v>37</v>
      </c>
      <c r="E898" s="2" t="s">
        <v>1423</v>
      </c>
      <c r="F898" s="2" t="s">
        <v>21</v>
      </c>
      <c r="G898" s="3" t="str">
        <f t="shared" si="1"/>
        <v>Pending evaluation</v>
      </c>
      <c r="H898" s="4" t="s">
        <v>1619</v>
      </c>
    </row>
    <row r="899" ht="15.75" customHeight="1">
      <c r="A899" s="2" t="s">
        <v>1620</v>
      </c>
      <c r="B899" s="2" t="s">
        <v>45</v>
      </c>
      <c r="C899" s="2" t="s">
        <v>36</v>
      </c>
      <c r="D899" s="2" t="s">
        <v>37</v>
      </c>
      <c r="E899" s="2" t="s">
        <v>1423</v>
      </c>
      <c r="F899" s="2" t="s">
        <v>21</v>
      </c>
      <c r="G899" s="3" t="str">
        <f t="shared" si="1"/>
        <v>Pending evaluation</v>
      </c>
      <c r="H899" s="4" t="s">
        <v>1621</v>
      </c>
    </row>
    <row r="900" ht="15.75" customHeight="1">
      <c r="A900" s="2" t="s">
        <v>1622</v>
      </c>
      <c r="B900" s="2" t="s">
        <v>45</v>
      </c>
      <c r="C900" s="2" t="s">
        <v>36</v>
      </c>
      <c r="D900" s="2" t="s">
        <v>37</v>
      </c>
      <c r="E900" s="2" t="s">
        <v>1423</v>
      </c>
      <c r="F900" s="2" t="s">
        <v>21</v>
      </c>
      <c r="G900" s="3" t="str">
        <f t="shared" si="1"/>
        <v>Pending evaluation</v>
      </c>
      <c r="H900" s="4" t="s">
        <v>1623</v>
      </c>
    </row>
    <row r="901" ht="15.75" customHeight="1">
      <c r="A901" s="2" t="s">
        <v>1624</v>
      </c>
      <c r="B901" s="2" t="s">
        <v>45</v>
      </c>
      <c r="C901" s="2" t="s">
        <v>36</v>
      </c>
      <c r="D901" s="2" t="s">
        <v>37</v>
      </c>
      <c r="E901" s="2" t="s">
        <v>1423</v>
      </c>
      <c r="F901" s="2" t="s">
        <v>21</v>
      </c>
      <c r="G901" s="3" t="str">
        <f t="shared" si="1"/>
        <v>Pending evaluation</v>
      </c>
      <c r="H901" s="4" t="s">
        <v>1625</v>
      </c>
    </row>
    <row r="902" ht="15.75" customHeight="1">
      <c r="A902" s="2" t="s">
        <v>1626</v>
      </c>
      <c r="B902" s="2" t="s">
        <v>45</v>
      </c>
      <c r="C902" s="2" t="s">
        <v>36</v>
      </c>
      <c r="D902" s="2" t="s">
        <v>37</v>
      </c>
      <c r="E902" s="2" t="s">
        <v>1423</v>
      </c>
      <c r="F902" s="2" t="s">
        <v>21</v>
      </c>
      <c r="G902" s="3" t="str">
        <f t="shared" si="1"/>
        <v>Pending evaluation</v>
      </c>
      <c r="H902" s="4" t="s">
        <v>1627</v>
      </c>
    </row>
    <row r="903" ht="15.75" customHeight="1">
      <c r="A903" s="2" t="s">
        <v>1628</v>
      </c>
      <c r="B903" s="2" t="s">
        <v>45</v>
      </c>
      <c r="C903" s="2" t="s">
        <v>36</v>
      </c>
      <c r="D903" s="2" t="s">
        <v>37</v>
      </c>
      <c r="E903" s="2" t="s">
        <v>1423</v>
      </c>
      <c r="F903" s="2" t="s">
        <v>21</v>
      </c>
      <c r="G903" s="3" t="str">
        <f t="shared" si="1"/>
        <v>Pending evaluation</v>
      </c>
      <c r="H903" s="4" t="s">
        <v>1629</v>
      </c>
    </row>
    <row r="904" ht="15.75" customHeight="1">
      <c r="A904" s="2" t="s">
        <v>1630</v>
      </c>
      <c r="B904" s="2" t="s">
        <v>45</v>
      </c>
      <c r="C904" s="2" t="s">
        <v>36</v>
      </c>
      <c r="D904" s="2" t="s">
        <v>37</v>
      </c>
      <c r="E904" s="2" t="s">
        <v>1423</v>
      </c>
      <c r="F904" s="2" t="s">
        <v>21</v>
      </c>
      <c r="G904" s="3" t="str">
        <f t="shared" si="1"/>
        <v>Pending evaluation</v>
      </c>
      <c r="H904" s="4" t="s">
        <v>1631</v>
      </c>
    </row>
    <row r="905" ht="15.75" customHeight="1">
      <c r="A905" s="2" t="s">
        <v>1632</v>
      </c>
      <c r="B905" s="2" t="s">
        <v>45</v>
      </c>
      <c r="C905" s="2" t="s">
        <v>36</v>
      </c>
      <c r="D905" s="2" t="s">
        <v>37</v>
      </c>
      <c r="E905" s="2" t="s">
        <v>1423</v>
      </c>
      <c r="F905" s="2" t="s">
        <v>21</v>
      </c>
      <c r="G905" s="3" t="str">
        <f t="shared" si="1"/>
        <v>Pending evaluation</v>
      </c>
      <c r="H905" s="4" t="s">
        <v>1633</v>
      </c>
    </row>
    <row r="906" ht="15.75" customHeight="1">
      <c r="A906" s="2" t="s">
        <v>1634</v>
      </c>
      <c r="B906" s="2" t="s">
        <v>45</v>
      </c>
      <c r="C906" s="2" t="s">
        <v>36</v>
      </c>
      <c r="D906" s="2" t="s">
        <v>37</v>
      </c>
      <c r="E906" s="2" t="s">
        <v>1423</v>
      </c>
      <c r="F906" s="2" t="s">
        <v>21</v>
      </c>
      <c r="G906" s="3" t="str">
        <f t="shared" si="1"/>
        <v>Pending evaluation</v>
      </c>
      <c r="H906" s="4" t="s">
        <v>1635</v>
      </c>
    </row>
    <row r="907" ht="15.75" customHeight="1">
      <c r="A907" s="2" t="s">
        <v>1636</v>
      </c>
      <c r="B907" s="2" t="s">
        <v>45</v>
      </c>
      <c r="C907" s="2" t="s">
        <v>36</v>
      </c>
      <c r="D907" s="2" t="s">
        <v>37</v>
      </c>
      <c r="E907" s="2" t="s">
        <v>1423</v>
      </c>
      <c r="F907" s="2" t="s">
        <v>21</v>
      </c>
      <c r="G907" s="3" t="str">
        <f t="shared" si="1"/>
        <v>Pending evaluation</v>
      </c>
      <c r="H907" s="4" t="s">
        <v>1637</v>
      </c>
    </row>
    <row r="908" ht="15.75" customHeight="1">
      <c r="A908" s="2" t="s">
        <v>1638</v>
      </c>
      <c r="B908" s="2" t="s">
        <v>45</v>
      </c>
      <c r="C908" s="2" t="s">
        <v>36</v>
      </c>
      <c r="D908" s="2" t="s">
        <v>37</v>
      </c>
      <c r="E908" s="2" t="s">
        <v>1423</v>
      </c>
      <c r="F908" s="2" t="s">
        <v>21</v>
      </c>
      <c r="G908" s="3" t="str">
        <f t="shared" si="1"/>
        <v>Pending evaluation</v>
      </c>
      <c r="H908" s="4" t="s">
        <v>1639</v>
      </c>
    </row>
    <row r="909" ht="15.75" customHeight="1">
      <c r="A909" s="2" t="s">
        <v>1640</v>
      </c>
      <c r="B909" s="2" t="s">
        <v>45</v>
      </c>
      <c r="C909" s="2" t="s">
        <v>36</v>
      </c>
      <c r="D909" s="2" t="s">
        <v>37</v>
      </c>
      <c r="E909" s="2" t="s">
        <v>1423</v>
      </c>
      <c r="F909" s="2" t="s">
        <v>21</v>
      </c>
      <c r="G909" s="3" t="str">
        <f t="shared" si="1"/>
        <v>Pending evaluation</v>
      </c>
      <c r="H909" s="4" t="s">
        <v>1641</v>
      </c>
    </row>
    <row r="910" ht="15.75" customHeight="1">
      <c r="A910" s="2" t="s">
        <v>1642</v>
      </c>
      <c r="B910" s="2" t="s">
        <v>45</v>
      </c>
      <c r="C910" s="2" t="s">
        <v>36</v>
      </c>
      <c r="D910" s="2" t="s">
        <v>37</v>
      </c>
      <c r="E910" s="2" t="s">
        <v>1423</v>
      </c>
      <c r="F910" s="2" t="s">
        <v>21</v>
      </c>
      <c r="G910" s="3" t="str">
        <f t="shared" si="1"/>
        <v>Pending evaluation</v>
      </c>
      <c r="H910" s="4" t="s">
        <v>1643</v>
      </c>
    </row>
    <row r="911" ht="15.75" customHeight="1">
      <c r="A911" s="2" t="s">
        <v>1644</v>
      </c>
      <c r="B911" s="2" t="s">
        <v>45</v>
      </c>
      <c r="C911" s="2" t="s">
        <v>36</v>
      </c>
      <c r="D911" s="2" t="s">
        <v>37</v>
      </c>
      <c r="E911" s="2" t="s">
        <v>1423</v>
      </c>
      <c r="F911" s="2" t="s">
        <v>21</v>
      </c>
      <c r="G911" s="3" t="str">
        <f t="shared" si="1"/>
        <v>Pending evaluation</v>
      </c>
      <c r="H911" s="4" t="s">
        <v>1645</v>
      </c>
    </row>
    <row r="912" ht="15.75" customHeight="1">
      <c r="A912" s="2" t="s">
        <v>1646</v>
      </c>
      <c r="B912" s="2" t="s">
        <v>45</v>
      </c>
      <c r="C912" s="2" t="s">
        <v>36</v>
      </c>
      <c r="D912" s="2" t="s">
        <v>37</v>
      </c>
      <c r="E912" s="2" t="s">
        <v>1423</v>
      </c>
      <c r="F912" s="2" t="s">
        <v>21</v>
      </c>
      <c r="G912" s="3" t="str">
        <f t="shared" si="1"/>
        <v>Pending evaluation</v>
      </c>
      <c r="H912" s="4" t="s">
        <v>1647</v>
      </c>
    </row>
    <row r="913" ht="15.75" customHeight="1">
      <c r="A913" s="2" t="s">
        <v>1648</v>
      </c>
      <c r="B913" s="2" t="s">
        <v>45</v>
      </c>
      <c r="C913" s="2" t="s">
        <v>36</v>
      </c>
      <c r="D913" s="2" t="s">
        <v>37</v>
      </c>
      <c r="E913" s="2" t="s">
        <v>1423</v>
      </c>
      <c r="F913" s="2" t="s">
        <v>21</v>
      </c>
      <c r="G913" s="3" t="str">
        <f t="shared" si="1"/>
        <v>Pending evaluation</v>
      </c>
      <c r="H913" s="4" t="s">
        <v>1649</v>
      </c>
    </row>
    <row r="914" ht="15.75" customHeight="1">
      <c r="A914" s="2" t="s">
        <v>1650</v>
      </c>
      <c r="B914" s="2" t="s">
        <v>45</v>
      </c>
      <c r="C914" s="2" t="s">
        <v>36</v>
      </c>
      <c r="D914" s="2" t="s">
        <v>37</v>
      </c>
      <c r="E914" s="2" t="s">
        <v>1423</v>
      </c>
      <c r="F914" s="2" t="s">
        <v>21</v>
      </c>
      <c r="G914" s="3" t="str">
        <f t="shared" si="1"/>
        <v>Pending evaluation</v>
      </c>
      <c r="H914" s="4" t="s">
        <v>1651</v>
      </c>
    </row>
    <row r="915" ht="15.75" customHeight="1">
      <c r="A915" s="2" t="s">
        <v>1652</v>
      </c>
      <c r="B915" s="2" t="s">
        <v>45</v>
      </c>
      <c r="C915" s="2" t="s">
        <v>36</v>
      </c>
      <c r="D915" s="2" t="s">
        <v>37</v>
      </c>
      <c r="E915" s="2" t="s">
        <v>1423</v>
      </c>
      <c r="F915" s="2" t="s">
        <v>21</v>
      </c>
      <c r="G915" s="3" t="str">
        <f t="shared" si="1"/>
        <v>Pending evaluation</v>
      </c>
      <c r="H915" s="4" t="s">
        <v>1653</v>
      </c>
    </row>
    <row r="916" ht="15.75" customHeight="1">
      <c r="A916" s="2" t="s">
        <v>1654</v>
      </c>
      <c r="B916" s="2" t="s">
        <v>45</v>
      </c>
      <c r="C916" s="2" t="s">
        <v>36</v>
      </c>
      <c r="D916" s="2" t="s">
        <v>37</v>
      </c>
      <c r="E916" s="2" t="s">
        <v>1423</v>
      </c>
      <c r="F916" s="2" t="s">
        <v>21</v>
      </c>
      <c r="G916" s="3" t="str">
        <f t="shared" si="1"/>
        <v>Pending evaluation</v>
      </c>
      <c r="H916" s="4" t="s">
        <v>1655</v>
      </c>
    </row>
    <row r="917" ht="15.75" customHeight="1">
      <c r="A917" s="2" t="s">
        <v>1656</v>
      </c>
      <c r="B917" s="2" t="s">
        <v>45</v>
      </c>
      <c r="C917" s="2" t="s">
        <v>36</v>
      </c>
      <c r="D917" s="2" t="s">
        <v>37</v>
      </c>
      <c r="E917" s="2" t="s">
        <v>1423</v>
      </c>
      <c r="F917" s="2" t="s">
        <v>21</v>
      </c>
      <c r="G917" s="3" t="str">
        <f t="shared" si="1"/>
        <v>Pending evaluation</v>
      </c>
      <c r="H917" s="4" t="s">
        <v>1657</v>
      </c>
    </row>
    <row r="918" ht="15.75" customHeight="1">
      <c r="A918" s="2" t="s">
        <v>1658</v>
      </c>
      <c r="B918" s="2" t="s">
        <v>45</v>
      </c>
      <c r="C918" s="2" t="s">
        <v>36</v>
      </c>
      <c r="D918" s="2" t="s">
        <v>37</v>
      </c>
      <c r="E918" s="2" t="s">
        <v>1423</v>
      </c>
      <c r="F918" s="2" t="s">
        <v>21</v>
      </c>
      <c r="G918" s="3" t="str">
        <f t="shared" si="1"/>
        <v>Pending evaluation</v>
      </c>
      <c r="H918" s="4" t="s">
        <v>1659</v>
      </c>
    </row>
    <row r="919" ht="15.75" customHeight="1">
      <c r="A919" s="2" t="s">
        <v>1660</v>
      </c>
      <c r="B919" s="2" t="s">
        <v>45</v>
      </c>
      <c r="C919" s="2" t="s">
        <v>36</v>
      </c>
      <c r="D919" s="2" t="s">
        <v>37</v>
      </c>
      <c r="E919" s="2" t="s">
        <v>1423</v>
      </c>
      <c r="F919" s="2" t="s">
        <v>21</v>
      </c>
      <c r="G919" s="3" t="str">
        <f t="shared" si="1"/>
        <v>Pending evaluation</v>
      </c>
      <c r="H919" s="4" t="s">
        <v>1661</v>
      </c>
    </row>
    <row r="920" ht="15.75" customHeight="1">
      <c r="A920" s="2" t="s">
        <v>1662</v>
      </c>
      <c r="B920" s="2" t="s">
        <v>45</v>
      </c>
      <c r="C920" s="2" t="s">
        <v>36</v>
      </c>
      <c r="D920" s="2" t="s">
        <v>37</v>
      </c>
      <c r="E920" s="2" t="s">
        <v>1423</v>
      </c>
      <c r="F920" s="2" t="s">
        <v>21</v>
      </c>
      <c r="G920" s="3" t="str">
        <f t="shared" si="1"/>
        <v>Pending evaluation</v>
      </c>
      <c r="H920" s="4" t="s">
        <v>1663</v>
      </c>
    </row>
    <row r="921" ht="15.75" customHeight="1">
      <c r="A921" s="2" t="s">
        <v>1664</v>
      </c>
      <c r="B921" s="2" t="s">
        <v>45</v>
      </c>
      <c r="C921" s="2" t="s">
        <v>36</v>
      </c>
      <c r="D921" s="2" t="s">
        <v>37</v>
      </c>
      <c r="E921" s="2" t="s">
        <v>1423</v>
      </c>
      <c r="F921" s="2" t="s">
        <v>21</v>
      </c>
      <c r="G921" s="3" t="str">
        <f t="shared" si="1"/>
        <v>Pending evaluation</v>
      </c>
      <c r="H921" s="4" t="s">
        <v>1665</v>
      </c>
    </row>
    <row r="922" ht="15.75" customHeight="1">
      <c r="A922" s="2" t="s">
        <v>1666</v>
      </c>
      <c r="B922" s="2" t="s">
        <v>45</v>
      </c>
      <c r="C922" s="2" t="s">
        <v>36</v>
      </c>
      <c r="D922" s="2" t="s">
        <v>37</v>
      </c>
      <c r="E922" s="2" t="s">
        <v>1423</v>
      </c>
      <c r="F922" s="2" t="s">
        <v>21</v>
      </c>
      <c r="G922" s="3" t="str">
        <f t="shared" si="1"/>
        <v>Pending evaluation</v>
      </c>
      <c r="H922" s="4" t="s">
        <v>1667</v>
      </c>
    </row>
    <row r="923" ht="15.75" customHeight="1">
      <c r="A923" s="2" t="s">
        <v>1668</v>
      </c>
      <c r="B923" s="2" t="s">
        <v>45</v>
      </c>
      <c r="C923" s="2" t="s">
        <v>36</v>
      </c>
      <c r="D923" s="2" t="s">
        <v>37</v>
      </c>
      <c r="E923" s="2" t="s">
        <v>1423</v>
      </c>
      <c r="F923" s="2" t="s">
        <v>21</v>
      </c>
      <c r="G923" s="3" t="str">
        <f t="shared" si="1"/>
        <v>Pending evaluation</v>
      </c>
      <c r="H923" s="4" t="s">
        <v>1669</v>
      </c>
    </row>
    <row r="924" ht="15.75" customHeight="1">
      <c r="A924" s="2" t="s">
        <v>1670</v>
      </c>
      <c r="B924" s="2" t="s">
        <v>45</v>
      </c>
      <c r="C924" s="2" t="s">
        <v>36</v>
      </c>
      <c r="D924" s="2" t="s">
        <v>37</v>
      </c>
      <c r="E924" s="2" t="s">
        <v>1423</v>
      </c>
      <c r="F924" s="2" t="s">
        <v>21</v>
      </c>
      <c r="G924" s="3" t="str">
        <f t="shared" si="1"/>
        <v>Pending evaluation</v>
      </c>
      <c r="H924" s="4" t="s">
        <v>1671</v>
      </c>
    </row>
    <row r="925" ht="15.75" customHeight="1">
      <c r="A925" s="2" t="s">
        <v>1672</v>
      </c>
      <c r="B925" s="2" t="s">
        <v>45</v>
      </c>
      <c r="C925" s="2" t="s">
        <v>36</v>
      </c>
      <c r="D925" s="2" t="s">
        <v>37</v>
      </c>
      <c r="E925" s="2" t="s">
        <v>1423</v>
      </c>
      <c r="F925" s="2" t="s">
        <v>21</v>
      </c>
      <c r="G925" s="3" t="str">
        <f t="shared" si="1"/>
        <v>Pending evaluation</v>
      </c>
      <c r="H925" s="4" t="s">
        <v>1673</v>
      </c>
    </row>
    <row r="926" ht="15.75" customHeight="1">
      <c r="A926" s="2" t="s">
        <v>1674</v>
      </c>
      <c r="B926" s="2" t="s">
        <v>45</v>
      </c>
      <c r="C926" s="2" t="s">
        <v>36</v>
      </c>
      <c r="D926" s="2" t="s">
        <v>37</v>
      </c>
      <c r="E926" s="2" t="s">
        <v>1423</v>
      </c>
      <c r="F926" s="2" t="s">
        <v>21</v>
      </c>
      <c r="G926" s="3" t="str">
        <f t="shared" si="1"/>
        <v>Pending evaluation</v>
      </c>
      <c r="H926" s="4" t="s">
        <v>1675</v>
      </c>
    </row>
    <row r="927" ht="15.75" customHeight="1">
      <c r="A927" s="2" t="s">
        <v>1676</v>
      </c>
      <c r="B927" s="2" t="s">
        <v>45</v>
      </c>
      <c r="C927" s="2" t="s">
        <v>36</v>
      </c>
      <c r="D927" s="2" t="s">
        <v>37</v>
      </c>
      <c r="E927" s="2" t="s">
        <v>1423</v>
      </c>
      <c r="F927" s="2" t="s">
        <v>21</v>
      </c>
      <c r="G927" s="3" t="str">
        <f t="shared" si="1"/>
        <v>Pending evaluation</v>
      </c>
      <c r="H927" s="4" t="s">
        <v>1677</v>
      </c>
    </row>
    <row r="928" ht="15.75" customHeight="1">
      <c r="A928" s="2" t="s">
        <v>1678</v>
      </c>
      <c r="B928" s="2" t="s">
        <v>45</v>
      </c>
      <c r="C928" s="2" t="s">
        <v>36</v>
      </c>
      <c r="D928" s="2" t="s">
        <v>37</v>
      </c>
      <c r="E928" s="2" t="s">
        <v>1423</v>
      </c>
      <c r="F928" s="2" t="s">
        <v>21</v>
      </c>
      <c r="G928" s="3" t="str">
        <f t="shared" si="1"/>
        <v>Pending evaluation</v>
      </c>
      <c r="H928" s="4" t="s">
        <v>1679</v>
      </c>
    </row>
    <row r="929" ht="15.75" customHeight="1">
      <c r="A929" s="2" t="s">
        <v>1680</v>
      </c>
      <c r="B929" s="2" t="s">
        <v>45</v>
      </c>
      <c r="C929" s="2" t="s">
        <v>36</v>
      </c>
      <c r="D929" s="2" t="s">
        <v>37</v>
      </c>
      <c r="E929" s="2" t="s">
        <v>1423</v>
      </c>
      <c r="F929" s="2" t="s">
        <v>21</v>
      </c>
      <c r="G929" s="3" t="str">
        <f t="shared" si="1"/>
        <v>Pending evaluation</v>
      </c>
      <c r="H929" s="4" t="s">
        <v>1681</v>
      </c>
    </row>
    <row r="930" ht="15.75" customHeight="1">
      <c r="A930" s="2" t="s">
        <v>1682</v>
      </c>
      <c r="B930" s="2" t="s">
        <v>45</v>
      </c>
      <c r="C930" s="2" t="s">
        <v>36</v>
      </c>
      <c r="D930" s="2" t="s">
        <v>37</v>
      </c>
      <c r="E930" s="2" t="s">
        <v>1423</v>
      </c>
      <c r="F930" s="2" t="s">
        <v>21</v>
      </c>
      <c r="G930" s="3" t="str">
        <f t="shared" si="1"/>
        <v>Pending evaluation</v>
      </c>
      <c r="H930" s="4" t="s">
        <v>1683</v>
      </c>
    </row>
    <row r="931" ht="15.75" customHeight="1">
      <c r="A931" s="2" t="s">
        <v>1684</v>
      </c>
      <c r="B931" s="2" t="s">
        <v>45</v>
      </c>
      <c r="C931" s="2" t="s">
        <v>36</v>
      </c>
      <c r="D931" s="2" t="s">
        <v>37</v>
      </c>
      <c r="E931" s="2" t="s">
        <v>1423</v>
      </c>
      <c r="F931" s="2" t="s">
        <v>21</v>
      </c>
      <c r="G931" s="3" t="str">
        <f t="shared" si="1"/>
        <v>Pending evaluation</v>
      </c>
      <c r="H931" s="4" t="s">
        <v>1685</v>
      </c>
    </row>
    <row r="932" ht="15.75" customHeight="1">
      <c r="A932" s="2" t="s">
        <v>1686</v>
      </c>
      <c r="B932" s="2" t="s">
        <v>45</v>
      </c>
      <c r="C932" s="2" t="s">
        <v>36</v>
      </c>
      <c r="D932" s="2" t="s">
        <v>37</v>
      </c>
      <c r="E932" s="2" t="s">
        <v>1423</v>
      </c>
      <c r="F932" s="2" t="s">
        <v>21</v>
      </c>
      <c r="G932" s="3" t="str">
        <f t="shared" si="1"/>
        <v>Pending evaluation</v>
      </c>
      <c r="H932" s="4" t="s">
        <v>1687</v>
      </c>
    </row>
    <row r="933" ht="15.75" customHeight="1">
      <c r="A933" s="2" t="s">
        <v>1688</v>
      </c>
      <c r="B933" s="2" t="s">
        <v>45</v>
      </c>
      <c r="C933" s="2" t="s">
        <v>36</v>
      </c>
      <c r="D933" s="2" t="s">
        <v>37</v>
      </c>
      <c r="E933" s="2" t="s">
        <v>1423</v>
      </c>
      <c r="F933" s="2" t="s">
        <v>21</v>
      </c>
      <c r="G933" s="3" t="str">
        <f t="shared" si="1"/>
        <v>Pending evaluation</v>
      </c>
      <c r="H933" s="4" t="s">
        <v>1689</v>
      </c>
    </row>
    <row r="934" ht="15.75" customHeight="1">
      <c r="A934" s="2" t="s">
        <v>1690</v>
      </c>
      <c r="B934" s="2" t="s">
        <v>45</v>
      </c>
      <c r="C934" s="2" t="s">
        <v>36</v>
      </c>
      <c r="D934" s="2" t="s">
        <v>37</v>
      </c>
      <c r="E934" s="2" t="s">
        <v>1423</v>
      </c>
      <c r="F934" s="2" t="s">
        <v>21</v>
      </c>
      <c r="G934" s="3" t="str">
        <f t="shared" si="1"/>
        <v>Pending evaluation</v>
      </c>
      <c r="H934" s="4" t="s">
        <v>1691</v>
      </c>
    </row>
    <row r="935" ht="15.75" customHeight="1">
      <c r="A935" s="2" t="s">
        <v>1692</v>
      </c>
      <c r="B935" s="2" t="s">
        <v>45</v>
      </c>
      <c r="C935" s="2" t="s">
        <v>36</v>
      </c>
      <c r="D935" s="2" t="s">
        <v>37</v>
      </c>
      <c r="E935" s="2" t="s">
        <v>1423</v>
      </c>
      <c r="F935" s="2" t="s">
        <v>21</v>
      </c>
      <c r="G935" s="3" t="str">
        <f t="shared" si="1"/>
        <v>Pending evaluation</v>
      </c>
      <c r="H935" s="4" t="s">
        <v>1693</v>
      </c>
    </row>
    <row r="936" ht="15.75" customHeight="1">
      <c r="A936" s="2" t="s">
        <v>1694</v>
      </c>
      <c r="B936" s="2" t="s">
        <v>45</v>
      </c>
      <c r="C936" s="2" t="s">
        <v>36</v>
      </c>
      <c r="D936" s="2" t="s">
        <v>37</v>
      </c>
      <c r="E936" s="2" t="s">
        <v>1423</v>
      </c>
      <c r="F936" s="2" t="s">
        <v>21</v>
      </c>
      <c r="G936" s="3" t="str">
        <f t="shared" si="1"/>
        <v>Pending evaluation</v>
      </c>
      <c r="H936" s="4" t="s">
        <v>1695</v>
      </c>
    </row>
    <row r="937" ht="15.75" customHeight="1">
      <c r="A937" s="2" t="s">
        <v>1696</v>
      </c>
      <c r="B937" s="2" t="s">
        <v>45</v>
      </c>
      <c r="C937" s="2" t="s">
        <v>36</v>
      </c>
      <c r="D937" s="2" t="s">
        <v>37</v>
      </c>
      <c r="E937" s="2" t="s">
        <v>1423</v>
      </c>
      <c r="F937" s="2" t="s">
        <v>21</v>
      </c>
      <c r="G937" s="3" t="str">
        <f t="shared" si="1"/>
        <v>Pending evaluation</v>
      </c>
      <c r="H937" s="4" t="s">
        <v>1697</v>
      </c>
    </row>
    <row r="938" ht="15.75" customHeight="1">
      <c r="A938" s="2" t="s">
        <v>1698</v>
      </c>
      <c r="B938" s="2" t="s">
        <v>45</v>
      </c>
      <c r="C938" s="2" t="s">
        <v>36</v>
      </c>
      <c r="D938" s="2" t="s">
        <v>37</v>
      </c>
      <c r="E938" s="2" t="s">
        <v>1423</v>
      </c>
      <c r="F938" s="2" t="s">
        <v>21</v>
      </c>
      <c r="G938" s="3" t="str">
        <f t="shared" si="1"/>
        <v>Pending evaluation</v>
      </c>
      <c r="H938" s="4" t="s">
        <v>1699</v>
      </c>
    </row>
    <row r="939" ht="15.75" customHeight="1">
      <c r="A939" s="2" t="s">
        <v>1700</v>
      </c>
      <c r="B939" s="2" t="s">
        <v>45</v>
      </c>
      <c r="C939" s="2" t="s">
        <v>36</v>
      </c>
      <c r="D939" s="2" t="s">
        <v>37</v>
      </c>
      <c r="E939" s="2" t="s">
        <v>1423</v>
      </c>
      <c r="F939" s="2" t="s">
        <v>21</v>
      </c>
      <c r="G939" s="3" t="str">
        <f t="shared" si="1"/>
        <v>Pending evaluation</v>
      </c>
      <c r="H939" s="4" t="s">
        <v>1701</v>
      </c>
    </row>
    <row r="940" ht="15.75" customHeight="1">
      <c r="A940" s="2" t="s">
        <v>1702</v>
      </c>
      <c r="B940" s="2" t="s">
        <v>45</v>
      </c>
      <c r="C940" s="2" t="s">
        <v>36</v>
      </c>
      <c r="D940" s="2" t="s">
        <v>37</v>
      </c>
      <c r="E940" s="2" t="s">
        <v>1423</v>
      </c>
      <c r="F940" s="2" t="s">
        <v>21</v>
      </c>
      <c r="G940" s="3" t="str">
        <f t="shared" si="1"/>
        <v>Pending evaluation</v>
      </c>
      <c r="H940" s="4" t="s">
        <v>1703</v>
      </c>
    </row>
    <row r="941" ht="15.75" customHeight="1">
      <c r="A941" s="2" t="s">
        <v>1704</v>
      </c>
      <c r="B941" s="2" t="s">
        <v>45</v>
      </c>
      <c r="C941" s="2" t="s">
        <v>36</v>
      </c>
      <c r="D941" s="2" t="s">
        <v>37</v>
      </c>
      <c r="E941" s="2" t="s">
        <v>1423</v>
      </c>
      <c r="F941" s="2" t="s">
        <v>21</v>
      </c>
      <c r="G941" s="3" t="str">
        <f t="shared" si="1"/>
        <v>Pending evaluation</v>
      </c>
      <c r="H941" s="4" t="s">
        <v>1705</v>
      </c>
    </row>
    <row r="942" ht="15.75" customHeight="1">
      <c r="A942" s="2" t="s">
        <v>1706</v>
      </c>
      <c r="B942" s="2" t="s">
        <v>45</v>
      </c>
      <c r="C942" s="2" t="s">
        <v>36</v>
      </c>
      <c r="D942" s="2" t="s">
        <v>37</v>
      </c>
      <c r="E942" s="2" t="s">
        <v>1423</v>
      </c>
      <c r="F942" s="2" t="s">
        <v>21</v>
      </c>
      <c r="G942" s="3" t="str">
        <f t="shared" si="1"/>
        <v>Pending evaluation</v>
      </c>
      <c r="H942" s="4" t="s">
        <v>1707</v>
      </c>
    </row>
    <row r="943" ht="15.75" customHeight="1">
      <c r="A943" s="2" t="s">
        <v>1708</v>
      </c>
      <c r="B943" s="2" t="s">
        <v>45</v>
      </c>
      <c r="C943" s="2" t="s">
        <v>36</v>
      </c>
      <c r="D943" s="2" t="s">
        <v>37</v>
      </c>
      <c r="E943" s="2" t="s">
        <v>1423</v>
      </c>
      <c r="F943" s="2" t="s">
        <v>21</v>
      </c>
      <c r="G943" s="3" t="str">
        <f t="shared" si="1"/>
        <v>Pending evaluation</v>
      </c>
      <c r="H943" s="4" t="s">
        <v>1709</v>
      </c>
    </row>
    <row r="944" ht="15.75" customHeight="1">
      <c r="A944" s="2" t="s">
        <v>1710</v>
      </c>
      <c r="B944" s="2" t="s">
        <v>45</v>
      </c>
      <c r="C944" s="2" t="s">
        <v>36</v>
      </c>
      <c r="D944" s="2" t="s">
        <v>37</v>
      </c>
      <c r="E944" s="2" t="s">
        <v>1423</v>
      </c>
      <c r="F944" s="2" t="s">
        <v>21</v>
      </c>
      <c r="G944" s="3" t="str">
        <f t="shared" si="1"/>
        <v>Pending evaluation</v>
      </c>
      <c r="H944" s="4" t="s">
        <v>1711</v>
      </c>
    </row>
    <row r="945" ht="15.75" customHeight="1">
      <c r="A945" s="2" t="s">
        <v>1712</v>
      </c>
      <c r="B945" s="2" t="s">
        <v>45</v>
      </c>
      <c r="C945" s="2" t="s">
        <v>36</v>
      </c>
      <c r="D945" s="2" t="s">
        <v>37</v>
      </c>
      <c r="E945" s="2" t="s">
        <v>1423</v>
      </c>
      <c r="F945" s="2" t="s">
        <v>21</v>
      </c>
      <c r="G945" s="3" t="str">
        <f t="shared" si="1"/>
        <v>Pending evaluation</v>
      </c>
      <c r="H945" s="4" t="s">
        <v>1713</v>
      </c>
    </row>
    <row r="946" ht="15.75" customHeight="1">
      <c r="A946" s="2" t="s">
        <v>1714</v>
      </c>
      <c r="B946" s="2" t="s">
        <v>45</v>
      </c>
      <c r="C946" s="2" t="s">
        <v>36</v>
      </c>
      <c r="D946" s="2" t="s">
        <v>37</v>
      </c>
      <c r="E946" s="2" t="s">
        <v>1423</v>
      </c>
      <c r="F946" s="2" t="s">
        <v>21</v>
      </c>
      <c r="G946" s="3" t="str">
        <f t="shared" si="1"/>
        <v>Pending evaluation</v>
      </c>
      <c r="H946" s="4" t="s">
        <v>1715</v>
      </c>
    </row>
    <row r="947" ht="15.75" customHeight="1">
      <c r="A947" s="2" t="s">
        <v>1716</v>
      </c>
      <c r="B947" s="2" t="s">
        <v>45</v>
      </c>
      <c r="C947" s="2" t="s">
        <v>36</v>
      </c>
      <c r="D947" s="2" t="s">
        <v>37</v>
      </c>
      <c r="E947" s="2" t="s">
        <v>1423</v>
      </c>
      <c r="F947" s="2" t="s">
        <v>21</v>
      </c>
      <c r="G947" s="3" t="str">
        <f t="shared" si="1"/>
        <v>Pending evaluation</v>
      </c>
      <c r="H947" s="4" t="s">
        <v>1717</v>
      </c>
    </row>
    <row r="948" ht="15.75" customHeight="1">
      <c r="A948" s="2" t="s">
        <v>1718</v>
      </c>
      <c r="B948" s="2" t="s">
        <v>45</v>
      </c>
      <c r="C948" s="2" t="s">
        <v>36</v>
      </c>
      <c r="D948" s="2" t="s">
        <v>37</v>
      </c>
      <c r="E948" s="2" t="s">
        <v>1423</v>
      </c>
      <c r="F948" s="2" t="s">
        <v>21</v>
      </c>
      <c r="G948" s="3" t="str">
        <f t="shared" si="1"/>
        <v>Pending evaluation</v>
      </c>
      <c r="H948" s="4" t="s">
        <v>1719</v>
      </c>
    </row>
    <row r="949" ht="15.75" customHeight="1">
      <c r="A949" s="2" t="s">
        <v>1720</v>
      </c>
      <c r="B949" s="2" t="s">
        <v>45</v>
      </c>
      <c r="C949" s="2" t="s">
        <v>36</v>
      </c>
      <c r="D949" s="2" t="s">
        <v>37</v>
      </c>
      <c r="E949" s="2" t="s">
        <v>1423</v>
      </c>
      <c r="F949" s="2" t="s">
        <v>21</v>
      </c>
      <c r="G949" s="3" t="str">
        <f t="shared" si="1"/>
        <v>Pending evaluation</v>
      </c>
      <c r="H949" s="4" t="s">
        <v>1721</v>
      </c>
    </row>
    <row r="950" ht="15.75" customHeight="1">
      <c r="A950" s="2" t="s">
        <v>1722</v>
      </c>
      <c r="B950" s="2" t="s">
        <v>45</v>
      </c>
      <c r="C950" s="2" t="s">
        <v>36</v>
      </c>
      <c r="D950" s="2" t="s">
        <v>37</v>
      </c>
      <c r="E950" s="2" t="s">
        <v>1423</v>
      </c>
      <c r="F950" s="2" t="s">
        <v>21</v>
      </c>
      <c r="G950" s="3" t="str">
        <f t="shared" si="1"/>
        <v>Pending evaluation</v>
      </c>
      <c r="H950" s="4" t="s">
        <v>1723</v>
      </c>
    </row>
    <row r="951" ht="15.75" customHeight="1">
      <c r="A951" s="2" t="s">
        <v>1724</v>
      </c>
      <c r="B951" s="2" t="s">
        <v>45</v>
      </c>
      <c r="C951" s="2" t="s">
        <v>36</v>
      </c>
      <c r="D951" s="2" t="s">
        <v>37</v>
      </c>
      <c r="E951" s="2" t="s">
        <v>1423</v>
      </c>
      <c r="F951" s="2" t="s">
        <v>21</v>
      </c>
      <c r="G951" s="3" t="str">
        <f t="shared" si="1"/>
        <v>Pending evaluation</v>
      </c>
      <c r="H951" s="4" t="s">
        <v>1725</v>
      </c>
    </row>
    <row r="952" ht="15.75" customHeight="1">
      <c r="A952" s="2" t="s">
        <v>1726</v>
      </c>
      <c r="B952" s="2" t="s">
        <v>45</v>
      </c>
      <c r="C952" s="2" t="s">
        <v>36</v>
      </c>
      <c r="D952" s="2" t="s">
        <v>37</v>
      </c>
      <c r="E952" s="2" t="s">
        <v>1423</v>
      </c>
      <c r="F952" s="2" t="s">
        <v>21</v>
      </c>
      <c r="G952" s="3" t="str">
        <f t="shared" si="1"/>
        <v>Pending evaluation</v>
      </c>
      <c r="H952" s="4" t="s">
        <v>1727</v>
      </c>
    </row>
    <row r="953" ht="15.75" customHeight="1">
      <c r="A953" s="2" t="s">
        <v>1728</v>
      </c>
      <c r="B953" s="2" t="s">
        <v>45</v>
      </c>
      <c r="C953" s="2" t="s">
        <v>36</v>
      </c>
      <c r="D953" s="2" t="s">
        <v>37</v>
      </c>
      <c r="E953" s="2" t="s">
        <v>1423</v>
      </c>
      <c r="F953" s="2" t="s">
        <v>21</v>
      </c>
      <c r="G953" s="3" t="str">
        <f t="shared" si="1"/>
        <v>Pending evaluation</v>
      </c>
      <c r="H953" s="4" t="s">
        <v>1729</v>
      </c>
    </row>
    <row r="954" ht="15.75" customHeight="1">
      <c r="A954" s="2" t="s">
        <v>1730</v>
      </c>
      <c r="B954" s="2" t="s">
        <v>45</v>
      </c>
      <c r="C954" s="2" t="s">
        <v>36</v>
      </c>
      <c r="D954" s="2" t="s">
        <v>37</v>
      </c>
      <c r="E954" s="2" t="s">
        <v>1423</v>
      </c>
      <c r="F954" s="2" t="s">
        <v>21</v>
      </c>
      <c r="G954" s="3" t="str">
        <f t="shared" si="1"/>
        <v>Pending evaluation</v>
      </c>
      <c r="H954" s="4" t="s">
        <v>1731</v>
      </c>
    </row>
    <row r="955" ht="15.75" customHeight="1">
      <c r="A955" s="2" t="s">
        <v>1732</v>
      </c>
      <c r="B955" s="2" t="s">
        <v>45</v>
      </c>
      <c r="C955" s="2" t="s">
        <v>36</v>
      </c>
      <c r="D955" s="2" t="s">
        <v>37</v>
      </c>
      <c r="E955" s="2" t="s">
        <v>1423</v>
      </c>
      <c r="F955" s="2" t="s">
        <v>21</v>
      </c>
      <c r="G955" s="3" t="str">
        <f t="shared" si="1"/>
        <v>Pending evaluation</v>
      </c>
      <c r="H955" s="4" t="s">
        <v>1733</v>
      </c>
    </row>
    <row r="956" ht="15.75" customHeight="1">
      <c r="A956" s="2" t="s">
        <v>1734</v>
      </c>
      <c r="B956" s="2" t="s">
        <v>45</v>
      </c>
      <c r="C956" s="2" t="s">
        <v>36</v>
      </c>
      <c r="D956" s="2" t="s">
        <v>37</v>
      </c>
      <c r="E956" s="2" t="s">
        <v>1423</v>
      </c>
      <c r="F956" s="2" t="s">
        <v>21</v>
      </c>
      <c r="G956" s="3" t="str">
        <f t="shared" si="1"/>
        <v>Pending evaluation</v>
      </c>
      <c r="H956" s="4" t="s">
        <v>1735</v>
      </c>
    </row>
    <row r="957" ht="15.75" customHeight="1">
      <c r="A957" s="2" t="s">
        <v>1736</v>
      </c>
      <c r="B957" s="2" t="s">
        <v>45</v>
      </c>
      <c r="C957" s="2" t="s">
        <v>36</v>
      </c>
      <c r="D957" s="2" t="s">
        <v>37</v>
      </c>
      <c r="E957" s="2" t="s">
        <v>1423</v>
      </c>
      <c r="F957" s="2" t="s">
        <v>21</v>
      </c>
      <c r="G957" s="3" t="str">
        <f t="shared" si="1"/>
        <v>Pending evaluation</v>
      </c>
      <c r="H957" s="4" t="s">
        <v>1737</v>
      </c>
    </row>
    <row r="958" ht="15.75" customHeight="1">
      <c r="A958" s="2" t="s">
        <v>1738</v>
      </c>
      <c r="B958" s="2" t="s">
        <v>45</v>
      </c>
      <c r="C958" s="2" t="s">
        <v>36</v>
      </c>
      <c r="D958" s="2" t="s">
        <v>37</v>
      </c>
      <c r="E958" s="2" t="s">
        <v>1423</v>
      </c>
      <c r="F958" s="2" t="s">
        <v>21</v>
      </c>
      <c r="G958" s="3" t="str">
        <f t="shared" si="1"/>
        <v>Pending evaluation</v>
      </c>
      <c r="H958" s="4" t="s">
        <v>1739</v>
      </c>
    </row>
    <row r="959" ht="15.75" customHeight="1">
      <c r="A959" s="2" t="s">
        <v>1740</v>
      </c>
      <c r="B959" s="2" t="s">
        <v>45</v>
      </c>
      <c r="C959" s="2" t="s">
        <v>36</v>
      </c>
      <c r="D959" s="2" t="s">
        <v>37</v>
      </c>
      <c r="E959" s="2" t="s">
        <v>1423</v>
      </c>
      <c r="F959" s="2" t="s">
        <v>21</v>
      </c>
      <c r="G959" s="3" t="str">
        <f t="shared" si="1"/>
        <v>Pending evaluation</v>
      </c>
      <c r="H959" s="4" t="s">
        <v>1741</v>
      </c>
    </row>
    <row r="960" ht="15.75" customHeight="1">
      <c r="A960" s="2" t="s">
        <v>1742</v>
      </c>
      <c r="B960" s="2" t="s">
        <v>45</v>
      </c>
      <c r="C960" s="2" t="s">
        <v>36</v>
      </c>
      <c r="D960" s="2" t="s">
        <v>37</v>
      </c>
      <c r="E960" s="2" t="s">
        <v>1423</v>
      </c>
      <c r="F960" s="2" t="s">
        <v>21</v>
      </c>
      <c r="G960" s="3" t="str">
        <f t="shared" si="1"/>
        <v>Pending evaluation</v>
      </c>
      <c r="H960" s="4"/>
    </row>
    <row r="961" ht="15.75" customHeight="1">
      <c r="A961" s="2" t="s">
        <v>1743</v>
      </c>
      <c r="B961" s="2" t="s">
        <v>45</v>
      </c>
      <c r="C961" s="2" t="s">
        <v>36</v>
      </c>
      <c r="D961" s="2" t="s">
        <v>37</v>
      </c>
      <c r="E961" s="2" t="s">
        <v>1423</v>
      </c>
      <c r="F961" s="2" t="s">
        <v>21</v>
      </c>
      <c r="G961" s="3" t="str">
        <f t="shared" si="1"/>
        <v>Pending evaluation</v>
      </c>
      <c r="H961" s="4" t="s">
        <v>1744</v>
      </c>
    </row>
    <row r="962" ht="15.75" customHeight="1">
      <c r="A962" s="2" t="s">
        <v>1745</v>
      </c>
      <c r="B962" s="2" t="s">
        <v>45</v>
      </c>
      <c r="C962" s="2" t="s">
        <v>36</v>
      </c>
      <c r="D962" s="2" t="s">
        <v>37</v>
      </c>
      <c r="E962" s="2" t="s">
        <v>1423</v>
      </c>
      <c r="F962" s="2" t="s">
        <v>21</v>
      </c>
      <c r="G962" s="3" t="str">
        <f t="shared" si="1"/>
        <v>Pending evaluation</v>
      </c>
      <c r="H962" s="4" t="s">
        <v>1746</v>
      </c>
    </row>
    <row r="963" ht="15.75" customHeight="1">
      <c r="A963" s="2" t="s">
        <v>1747</v>
      </c>
      <c r="B963" s="2" t="s">
        <v>45</v>
      </c>
      <c r="C963" s="2" t="s">
        <v>36</v>
      </c>
      <c r="D963" s="2" t="s">
        <v>37</v>
      </c>
      <c r="E963" s="2" t="s">
        <v>1423</v>
      </c>
      <c r="F963" s="2" t="s">
        <v>21</v>
      </c>
      <c r="G963" s="3" t="str">
        <f t="shared" si="1"/>
        <v>Pending evaluation</v>
      </c>
      <c r="H963" s="4" t="s">
        <v>1748</v>
      </c>
    </row>
    <row r="964" ht="15.75" customHeight="1">
      <c r="A964" s="2" t="s">
        <v>1749</v>
      </c>
      <c r="B964" s="2" t="s">
        <v>45</v>
      </c>
      <c r="C964" s="2" t="s">
        <v>36</v>
      </c>
      <c r="D964" s="2" t="s">
        <v>37</v>
      </c>
      <c r="E964" s="2" t="s">
        <v>1423</v>
      </c>
      <c r="F964" s="2" t="s">
        <v>21</v>
      </c>
      <c r="G964" s="3" t="str">
        <f t="shared" si="1"/>
        <v>Pending evaluation</v>
      </c>
      <c r="H964" s="4" t="s">
        <v>1750</v>
      </c>
    </row>
    <row r="965" ht="15.75" customHeight="1">
      <c r="A965" s="2" t="s">
        <v>1751</v>
      </c>
      <c r="B965" s="2" t="s">
        <v>45</v>
      </c>
      <c r="C965" s="2" t="s">
        <v>36</v>
      </c>
      <c r="D965" s="2" t="s">
        <v>37</v>
      </c>
      <c r="E965" s="2" t="s">
        <v>1423</v>
      </c>
      <c r="F965" s="2" t="s">
        <v>21</v>
      </c>
      <c r="G965" s="3" t="str">
        <f t="shared" si="1"/>
        <v>Pending evaluation</v>
      </c>
      <c r="H965" s="4"/>
    </row>
    <row r="966" ht="15.75" customHeight="1">
      <c r="A966" s="2" t="s">
        <v>1752</v>
      </c>
      <c r="B966" s="2" t="s">
        <v>45</v>
      </c>
      <c r="C966" s="2" t="s">
        <v>36</v>
      </c>
      <c r="D966" s="2" t="s">
        <v>37</v>
      </c>
      <c r="E966" s="2" t="s">
        <v>1423</v>
      </c>
      <c r="F966" s="2" t="s">
        <v>21</v>
      </c>
      <c r="G966" s="3" t="str">
        <f t="shared" si="1"/>
        <v>Pending evaluation</v>
      </c>
      <c r="H966" s="4" t="s">
        <v>1753</v>
      </c>
    </row>
    <row r="967" ht="15.75" customHeight="1">
      <c r="A967" s="2" t="s">
        <v>1754</v>
      </c>
      <c r="B967" s="2" t="s">
        <v>45</v>
      </c>
      <c r="C967" s="2" t="s">
        <v>36</v>
      </c>
      <c r="D967" s="2" t="s">
        <v>37</v>
      </c>
      <c r="E967" s="2" t="s">
        <v>1423</v>
      </c>
      <c r="F967" s="2" t="s">
        <v>21</v>
      </c>
      <c r="G967" s="3" t="str">
        <f t="shared" si="1"/>
        <v>Pending evaluation</v>
      </c>
      <c r="H967" s="4"/>
    </row>
    <row r="968" ht="15.75" customHeight="1">
      <c r="A968" s="2" t="s">
        <v>1755</v>
      </c>
      <c r="B968" s="2" t="s">
        <v>45</v>
      </c>
      <c r="C968" s="2" t="s">
        <v>36</v>
      </c>
      <c r="D968" s="2" t="s">
        <v>37</v>
      </c>
      <c r="E968" s="2" t="s">
        <v>1423</v>
      </c>
      <c r="F968" s="2" t="s">
        <v>21</v>
      </c>
      <c r="G968" s="3" t="str">
        <f t="shared" si="1"/>
        <v>Pending evaluation</v>
      </c>
      <c r="H968" s="4" t="s">
        <v>1756</v>
      </c>
    </row>
    <row r="969" ht="15.75" customHeight="1">
      <c r="A969" s="2" t="s">
        <v>1757</v>
      </c>
      <c r="B969" s="2" t="s">
        <v>45</v>
      </c>
      <c r="C969" s="2" t="s">
        <v>36</v>
      </c>
      <c r="D969" s="2" t="s">
        <v>37</v>
      </c>
      <c r="E969" s="2" t="s">
        <v>1423</v>
      </c>
      <c r="F969" s="2" t="s">
        <v>21</v>
      </c>
      <c r="G969" s="3" t="str">
        <f t="shared" si="1"/>
        <v>Pending evaluation</v>
      </c>
      <c r="H969" s="4" t="s">
        <v>1758</v>
      </c>
    </row>
    <row r="970" ht="15.75" customHeight="1">
      <c r="A970" s="2" t="s">
        <v>1759</v>
      </c>
      <c r="B970" s="2" t="s">
        <v>45</v>
      </c>
      <c r="C970" s="2" t="s">
        <v>36</v>
      </c>
      <c r="D970" s="2" t="s">
        <v>37</v>
      </c>
      <c r="E970" s="2" t="s">
        <v>1423</v>
      </c>
      <c r="F970" s="2" t="s">
        <v>21</v>
      </c>
      <c r="G970" s="3" t="str">
        <f t="shared" si="1"/>
        <v>Pending evaluation</v>
      </c>
      <c r="H970" s="4"/>
    </row>
    <row r="971" ht="15.75" customHeight="1">
      <c r="A971" s="2" t="s">
        <v>1760</v>
      </c>
      <c r="B971" s="2" t="s">
        <v>45</v>
      </c>
      <c r="C971" s="2" t="s">
        <v>36</v>
      </c>
      <c r="D971" s="2" t="s">
        <v>37</v>
      </c>
      <c r="E971" s="2" t="s">
        <v>1423</v>
      </c>
      <c r="F971" s="2" t="s">
        <v>21</v>
      </c>
      <c r="G971" s="3" t="str">
        <f t="shared" si="1"/>
        <v>Pending evaluation</v>
      </c>
      <c r="H971" s="4" t="s">
        <v>1761</v>
      </c>
    </row>
    <row r="972" ht="15.75" customHeight="1">
      <c r="A972" s="2" t="s">
        <v>1762</v>
      </c>
      <c r="B972" s="2" t="s">
        <v>45</v>
      </c>
      <c r="C972" s="2" t="s">
        <v>36</v>
      </c>
      <c r="D972" s="2" t="s">
        <v>37</v>
      </c>
      <c r="E972" s="2" t="s">
        <v>1423</v>
      </c>
      <c r="F972" s="2" t="s">
        <v>21</v>
      </c>
      <c r="G972" s="3" t="str">
        <f t="shared" si="1"/>
        <v>Pending evaluation</v>
      </c>
      <c r="H972" s="4" t="s">
        <v>1763</v>
      </c>
    </row>
    <row r="973" ht="15.75" customHeight="1">
      <c r="A973" s="2" t="s">
        <v>1764</v>
      </c>
      <c r="B973" s="2" t="s">
        <v>45</v>
      </c>
      <c r="C973" s="2" t="s">
        <v>36</v>
      </c>
      <c r="D973" s="2" t="s">
        <v>37</v>
      </c>
      <c r="E973" s="2" t="s">
        <v>1423</v>
      </c>
      <c r="F973" s="2" t="s">
        <v>21</v>
      </c>
      <c r="G973" s="3" t="str">
        <f t="shared" si="1"/>
        <v>Pending evaluation</v>
      </c>
      <c r="H973" s="4" t="s">
        <v>1765</v>
      </c>
    </row>
    <row r="974" ht="15.75" customHeight="1">
      <c r="A974" s="2" t="s">
        <v>1766</v>
      </c>
      <c r="B974" s="2" t="s">
        <v>45</v>
      </c>
      <c r="C974" s="2" t="s">
        <v>36</v>
      </c>
      <c r="D974" s="2" t="s">
        <v>37</v>
      </c>
      <c r="E974" s="2" t="s">
        <v>1423</v>
      </c>
      <c r="F974" s="2" t="s">
        <v>21</v>
      </c>
      <c r="G974" s="3" t="str">
        <f t="shared" si="1"/>
        <v>Pending evaluation</v>
      </c>
      <c r="H974" s="4"/>
    </row>
    <row r="975" ht="15.75" customHeight="1">
      <c r="A975" s="2" t="s">
        <v>1767</v>
      </c>
      <c r="B975" s="2" t="s">
        <v>45</v>
      </c>
      <c r="C975" s="2" t="s">
        <v>36</v>
      </c>
      <c r="D975" s="2" t="s">
        <v>37</v>
      </c>
      <c r="E975" s="2" t="s">
        <v>1423</v>
      </c>
      <c r="F975" s="2" t="s">
        <v>21</v>
      </c>
      <c r="G975" s="3" t="str">
        <f t="shared" si="1"/>
        <v>Pending evaluation</v>
      </c>
      <c r="H975" s="4"/>
    </row>
    <row r="976" ht="15.75" customHeight="1">
      <c r="A976" s="2" t="s">
        <v>1768</v>
      </c>
      <c r="B976" s="2" t="s">
        <v>45</v>
      </c>
      <c r="C976" s="2" t="s">
        <v>36</v>
      </c>
      <c r="D976" s="2" t="s">
        <v>37</v>
      </c>
      <c r="E976" s="2" t="s">
        <v>1423</v>
      </c>
      <c r="F976" s="2" t="s">
        <v>21</v>
      </c>
      <c r="G976" s="3" t="str">
        <f t="shared" si="1"/>
        <v>Pending evaluation</v>
      </c>
      <c r="H976" s="4"/>
    </row>
    <row r="977" ht="15.75" customHeight="1">
      <c r="A977" s="2" t="s">
        <v>1769</v>
      </c>
      <c r="B977" s="2" t="s">
        <v>45</v>
      </c>
      <c r="C977" s="2" t="s">
        <v>36</v>
      </c>
      <c r="D977" s="2" t="s">
        <v>37</v>
      </c>
      <c r="E977" s="2" t="s">
        <v>1423</v>
      </c>
      <c r="F977" s="2" t="s">
        <v>21</v>
      </c>
      <c r="G977" s="3" t="str">
        <f t="shared" si="1"/>
        <v>Pending evaluation</v>
      </c>
      <c r="H977" s="4"/>
    </row>
    <row r="978" ht="15.75" customHeight="1">
      <c r="A978" s="2" t="s">
        <v>1770</v>
      </c>
      <c r="B978" s="2" t="s">
        <v>45</v>
      </c>
      <c r="C978" s="2" t="s">
        <v>36</v>
      </c>
      <c r="D978" s="2" t="s">
        <v>37</v>
      </c>
      <c r="E978" s="2" t="s">
        <v>1423</v>
      </c>
      <c r="F978" s="2" t="s">
        <v>21</v>
      </c>
      <c r="G978" s="3" t="str">
        <f t="shared" si="1"/>
        <v>Pending evaluation</v>
      </c>
      <c r="H978" s="4"/>
    </row>
    <row r="979" ht="15.75" customHeight="1">
      <c r="A979" s="2" t="s">
        <v>1771</v>
      </c>
      <c r="B979" s="2" t="s">
        <v>45</v>
      </c>
      <c r="C979" s="2" t="s">
        <v>36</v>
      </c>
      <c r="D979" s="2" t="s">
        <v>37</v>
      </c>
      <c r="E979" s="2" t="s">
        <v>1423</v>
      </c>
      <c r="F979" s="2" t="s">
        <v>21</v>
      </c>
      <c r="G979" s="3" t="str">
        <f t="shared" si="1"/>
        <v>Pending evaluation</v>
      </c>
      <c r="H979" s="4"/>
    </row>
    <row r="980" ht="15.75" customHeight="1">
      <c r="A980" s="2" t="s">
        <v>1772</v>
      </c>
      <c r="B980" s="2" t="s">
        <v>45</v>
      </c>
      <c r="C980" s="2" t="s">
        <v>36</v>
      </c>
      <c r="D980" s="2" t="s">
        <v>37</v>
      </c>
      <c r="E980" s="2" t="s">
        <v>1423</v>
      </c>
      <c r="F980" s="2" t="s">
        <v>21</v>
      </c>
      <c r="G980" s="3" t="str">
        <f t="shared" si="1"/>
        <v>Pending evaluation</v>
      </c>
      <c r="H980" s="4"/>
    </row>
    <row r="981" ht="15.75" customHeight="1">
      <c r="A981" s="2" t="s">
        <v>1773</v>
      </c>
      <c r="B981" s="2" t="s">
        <v>45</v>
      </c>
      <c r="C981" s="2" t="s">
        <v>36</v>
      </c>
      <c r="D981" s="2" t="s">
        <v>37</v>
      </c>
      <c r="E981" s="2" t="s">
        <v>1423</v>
      </c>
      <c r="F981" s="2" t="s">
        <v>21</v>
      </c>
      <c r="G981" s="3" t="str">
        <f t="shared" si="1"/>
        <v>Pending evaluation</v>
      </c>
      <c r="H981" s="4"/>
    </row>
    <row r="982" ht="15.75" customHeight="1">
      <c r="A982" s="2" t="s">
        <v>1774</v>
      </c>
      <c r="B982" s="2" t="s">
        <v>45</v>
      </c>
      <c r="C982" s="2" t="s">
        <v>36</v>
      </c>
      <c r="D982" s="2" t="s">
        <v>37</v>
      </c>
      <c r="E982" s="2" t="s">
        <v>1423</v>
      </c>
      <c r="F982" s="2" t="s">
        <v>21</v>
      </c>
      <c r="G982" s="3" t="str">
        <f t="shared" si="1"/>
        <v>Pending evaluation</v>
      </c>
      <c r="H982" s="4"/>
    </row>
    <row r="983" ht="15.75" customHeight="1">
      <c r="A983" s="2" t="s">
        <v>1775</v>
      </c>
      <c r="B983" s="2" t="s">
        <v>45</v>
      </c>
      <c r="C983" s="2" t="s">
        <v>36</v>
      </c>
      <c r="D983" s="2" t="s">
        <v>37</v>
      </c>
      <c r="E983" s="2" t="s">
        <v>1423</v>
      </c>
      <c r="F983" s="2" t="s">
        <v>21</v>
      </c>
      <c r="G983" s="3" t="str">
        <f t="shared" si="1"/>
        <v>Pending evaluation</v>
      </c>
      <c r="H983" s="4"/>
    </row>
    <row r="984" ht="15.75" customHeight="1">
      <c r="A984" s="2" t="s">
        <v>1776</v>
      </c>
      <c r="B984" s="2" t="s">
        <v>45</v>
      </c>
      <c r="C984" s="2" t="s">
        <v>36</v>
      </c>
      <c r="D984" s="2" t="s">
        <v>37</v>
      </c>
      <c r="E984" s="2" t="s">
        <v>1423</v>
      </c>
      <c r="F984" s="2" t="s">
        <v>21</v>
      </c>
      <c r="G984" s="3" t="str">
        <f t="shared" si="1"/>
        <v>Pending evaluation</v>
      </c>
      <c r="H984" s="4"/>
    </row>
    <row r="985" ht="15.75" customHeight="1">
      <c r="A985" s="2" t="s">
        <v>1777</v>
      </c>
      <c r="B985" s="2" t="s">
        <v>45</v>
      </c>
      <c r="C985" s="2" t="s">
        <v>36</v>
      </c>
      <c r="D985" s="2" t="s">
        <v>37</v>
      </c>
      <c r="E985" s="2" t="s">
        <v>1423</v>
      </c>
      <c r="F985" s="2" t="s">
        <v>21</v>
      </c>
      <c r="G985" s="3" t="str">
        <f t="shared" si="1"/>
        <v>Pending evaluation</v>
      </c>
      <c r="H985" s="4"/>
    </row>
    <row r="986" ht="15.75" customHeight="1">
      <c r="A986" s="2" t="s">
        <v>1778</v>
      </c>
      <c r="B986" s="2" t="s">
        <v>45</v>
      </c>
      <c r="C986" s="2" t="s">
        <v>36</v>
      </c>
      <c r="D986" s="2" t="s">
        <v>37</v>
      </c>
      <c r="E986" s="2" t="s">
        <v>1423</v>
      </c>
      <c r="F986" s="2" t="s">
        <v>21</v>
      </c>
      <c r="G986" s="3" t="str">
        <f t="shared" si="1"/>
        <v>Pending evaluation</v>
      </c>
      <c r="H986" s="4" t="s">
        <v>1779</v>
      </c>
    </row>
    <row r="987" ht="15.75" customHeight="1">
      <c r="A987" s="2" t="s">
        <v>1780</v>
      </c>
      <c r="B987" s="2" t="s">
        <v>45</v>
      </c>
      <c r="C987" s="2" t="s">
        <v>36</v>
      </c>
      <c r="D987" s="2" t="s">
        <v>37</v>
      </c>
      <c r="E987" s="2" t="s">
        <v>1423</v>
      </c>
      <c r="F987" s="2" t="s">
        <v>21</v>
      </c>
      <c r="G987" s="3" t="str">
        <f t="shared" si="1"/>
        <v>Pending evaluation</v>
      </c>
      <c r="H987" s="4"/>
    </row>
    <row r="988" ht="15.75" customHeight="1">
      <c r="A988" s="2" t="s">
        <v>1781</v>
      </c>
      <c r="B988" s="2" t="s">
        <v>45</v>
      </c>
      <c r="C988" s="2" t="s">
        <v>36</v>
      </c>
      <c r="D988" s="2" t="s">
        <v>37</v>
      </c>
      <c r="E988" s="2" t="s">
        <v>1423</v>
      </c>
      <c r="F988" s="2" t="s">
        <v>21</v>
      </c>
      <c r="G988" s="3" t="str">
        <f t="shared" si="1"/>
        <v>Pending evaluation</v>
      </c>
      <c r="H988" s="4" t="s">
        <v>1782</v>
      </c>
    </row>
    <row r="989" ht="15.75" customHeight="1">
      <c r="A989" s="2" t="s">
        <v>1783</v>
      </c>
      <c r="B989" s="2" t="s">
        <v>45</v>
      </c>
      <c r="C989" s="2" t="s">
        <v>36</v>
      </c>
      <c r="D989" s="2" t="s">
        <v>37</v>
      </c>
      <c r="E989" s="2" t="s">
        <v>1423</v>
      </c>
      <c r="F989" s="2" t="s">
        <v>21</v>
      </c>
      <c r="G989" s="3" t="str">
        <f t="shared" si="1"/>
        <v>Pending evaluation</v>
      </c>
      <c r="H989" s="4" t="s">
        <v>1784</v>
      </c>
    </row>
    <row r="990" ht="15.75" customHeight="1">
      <c r="A990" s="2" t="s">
        <v>1785</v>
      </c>
      <c r="B990" s="2" t="s">
        <v>45</v>
      </c>
      <c r="C990" s="2" t="s">
        <v>36</v>
      </c>
      <c r="D990" s="2" t="s">
        <v>37</v>
      </c>
      <c r="E990" s="2" t="s">
        <v>1423</v>
      </c>
      <c r="F990" s="2" t="s">
        <v>21</v>
      </c>
      <c r="G990" s="3" t="str">
        <f t="shared" si="1"/>
        <v>Pending evaluation</v>
      </c>
      <c r="H990" s="4" t="s">
        <v>1786</v>
      </c>
    </row>
    <row r="991" ht="15.75" customHeight="1">
      <c r="A991" s="2" t="s">
        <v>1787</v>
      </c>
      <c r="B991" s="2" t="s">
        <v>45</v>
      </c>
      <c r="C991" s="2" t="s">
        <v>36</v>
      </c>
      <c r="D991" s="2" t="s">
        <v>37</v>
      </c>
      <c r="E991" s="2" t="s">
        <v>1423</v>
      </c>
      <c r="F991" s="2" t="s">
        <v>21</v>
      </c>
      <c r="G991" s="3" t="str">
        <f t="shared" si="1"/>
        <v>Pending evaluation</v>
      </c>
      <c r="H991" s="4" t="s">
        <v>1788</v>
      </c>
    </row>
    <row r="992" ht="15.75" customHeight="1">
      <c r="A992" s="2" t="s">
        <v>1789</v>
      </c>
      <c r="B992" s="2" t="s">
        <v>45</v>
      </c>
      <c r="C992" s="2" t="s">
        <v>36</v>
      </c>
      <c r="D992" s="2" t="s">
        <v>37</v>
      </c>
      <c r="E992" s="2" t="s">
        <v>1423</v>
      </c>
      <c r="F992" s="2" t="s">
        <v>21</v>
      </c>
      <c r="G992" s="3" t="str">
        <f t="shared" si="1"/>
        <v>Pending evaluation</v>
      </c>
      <c r="H992" s="4" t="s">
        <v>1790</v>
      </c>
    </row>
    <row r="993" ht="15.75" customHeight="1">
      <c r="A993" s="2" t="s">
        <v>1791</v>
      </c>
      <c r="B993" s="2" t="s">
        <v>45</v>
      </c>
      <c r="C993" s="2" t="s">
        <v>36</v>
      </c>
      <c r="D993" s="2" t="s">
        <v>37</v>
      </c>
      <c r="E993" s="2" t="s">
        <v>1423</v>
      </c>
      <c r="F993" s="2" t="s">
        <v>21</v>
      </c>
      <c r="G993" s="3" t="str">
        <f t="shared" si="1"/>
        <v>Pending evaluation</v>
      </c>
      <c r="H993" s="4" t="s">
        <v>1792</v>
      </c>
    </row>
    <row r="994" ht="15.75" customHeight="1">
      <c r="A994" s="2" t="s">
        <v>1793</v>
      </c>
      <c r="B994" s="2" t="s">
        <v>45</v>
      </c>
      <c r="C994" s="2" t="s">
        <v>36</v>
      </c>
      <c r="D994" s="2" t="s">
        <v>37</v>
      </c>
      <c r="E994" s="2" t="s">
        <v>1423</v>
      </c>
      <c r="F994" s="2" t="s">
        <v>21</v>
      </c>
      <c r="G994" s="3" t="str">
        <f t="shared" si="1"/>
        <v>Pending evaluation</v>
      </c>
      <c r="H994" s="4" t="s">
        <v>1794</v>
      </c>
    </row>
    <row r="995" ht="15.75" customHeight="1">
      <c r="A995" s="2" t="s">
        <v>1795</v>
      </c>
      <c r="B995" s="2" t="s">
        <v>45</v>
      </c>
      <c r="C995" s="2" t="s">
        <v>36</v>
      </c>
      <c r="D995" s="2" t="s">
        <v>37</v>
      </c>
      <c r="E995" s="2" t="s">
        <v>1423</v>
      </c>
      <c r="F995" s="2" t="s">
        <v>21</v>
      </c>
      <c r="G995" s="3" t="str">
        <f t="shared" si="1"/>
        <v>Pending evaluation</v>
      </c>
      <c r="H995" s="4" t="s">
        <v>1796</v>
      </c>
    </row>
    <row r="996" ht="15.75" customHeight="1">
      <c r="A996" s="2" t="s">
        <v>1797</v>
      </c>
      <c r="B996" s="2" t="s">
        <v>45</v>
      </c>
      <c r="C996" s="2" t="s">
        <v>36</v>
      </c>
      <c r="D996" s="2" t="s">
        <v>37</v>
      </c>
      <c r="E996" s="2" t="s">
        <v>1423</v>
      </c>
      <c r="F996" s="2" t="s">
        <v>21</v>
      </c>
      <c r="G996" s="3" t="str">
        <f t="shared" si="1"/>
        <v>Pending evaluation</v>
      </c>
      <c r="H996" s="4"/>
    </row>
    <row r="997" ht="15.75" customHeight="1">
      <c r="A997" s="2" t="s">
        <v>1798</v>
      </c>
      <c r="B997" s="2" t="s">
        <v>45</v>
      </c>
      <c r="C997" s="2" t="s">
        <v>36</v>
      </c>
      <c r="D997" s="2" t="s">
        <v>37</v>
      </c>
      <c r="E997" s="2" t="s">
        <v>1423</v>
      </c>
      <c r="F997" s="2" t="s">
        <v>21</v>
      </c>
      <c r="G997" s="3" t="str">
        <f t="shared" si="1"/>
        <v>Pending evaluation</v>
      </c>
      <c r="H997" s="4" t="s">
        <v>1799</v>
      </c>
    </row>
    <row r="998" ht="15.75" customHeight="1">
      <c r="A998" s="2" t="s">
        <v>1800</v>
      </c>
      <c r="B998" s="2" t="s">
        <v>45</v>
      </c>
      <c r="C998" s="2" t="s">
        <v>36</v>
      </c>
      <c r="D998" s="2" t="s">
        <v>37</v>
      </c>
      <c r="E998" s="2" t="s">
        <v>1423</v>
      </c>
      <c r="F998" s="2" t="s">
        <v>21</v>
      </c>
      <c r="G998" s="3" t="str">
        <f t="shared" si="1"/>
        <v>Pending evaluation</v>
      </c>
      <c r="H998" s="4" t="s">
        <v>1801</v>
      </c>
    </row>
    <row r="999" ht="15.75" customHeight="1">
      <c r="A999" s="2" t="s">
        <v>1802</v>
      </c>
      <c r="B999" s="2" t="s">
        <v>45</v>
      </c>
      <c r="C999" s="2" t="s">
        <v>36</v>
      </c>
      <c r="D999" s="2" t="s">
        <v>37</v>
      </c>
      <c r="E999" s="2" t="s">
        <v>1423</v>
      </c>
      <c r="F999" s="2" t="s">
        <v>21</v>
      </c>
      <c r="G999" s="3" t="str">
        <f t="shared" si="1"/>
        <v>Pending evaluation</v>
      </c>
      <c r="H999" s="4" t="s">
        <v>1803</v>
      </c>
    </row>
    <row r="1000" ht="15.75" customHeight="1">
      <c r="A1000" s="2" t="s">
        <v>1804</v>
      </c>
      <c r="B1000" s="2" t="s">
        <v>45</v>
      </c>
      <c r="C1000" s="2" t="s">
        <v>36</v>
      </c>
      <c r="D1000" s="2" t="s">
        <v>37</v>
      </c>
      <c r="E1000" s="2" t="s">
        <v>1423</v>
      </c>
      <c r="F1000" s="2" t="s">
        <v>21</v>
      </c>
      <c r="G1000" s="3" t="str">
        <f t="shared" si="1"/>
        <v>Pending evaluation</v>
      </c>
      <c r="H1000" s="4" t="s">
        <v>1805</v>
      </c>
    </row>
    <row r="1001" ht="15.75" customHeight="1">
      <c r="A1001" s="2" t="s">
        <v>1806</v>
      </c>
      <c r="B1001" s="2" t="s">
        <v>45</v>
      </c>
      <c r="C1001" s="2" t="s">
        <v>36</v>
      </c>
      <c r="D1001" s="2" t="s">
        <v>37</v>
      </c>
      <c r="E1001" s="2" t="s">
        <v>1423</v>
      </c>
      <c r="F1001" s="2" t="s">
        <v>21</v>
      </c>
      <c r="G1001" s="3" t="str">
        <f t="shared" si="1"/>
        <v>Pending evaluation</v>
      </c>
      <c r="H1001" s="4"/>
    </row>
    <row r="1002" ht="15.75" customHeight="1">
      <c r="A1002" s="2" t="s">
        <v>1807</v>
      </c>
      <c r="B1002" s="2" t="s">
        <v>45</v>
      </c>
      <c r="C1002" s="2" t="s">
        <v>36</v>
      </c>
      <c r="D1002" s="2" t="s">
        <v>37</v>
      </c>
      <c r="E1002" s="2" t="s">
        <v>1423</v>
      </c>
      <c r="F1002" s="2" t="s">
        <v>21</v>
      </c>
      <c r="G1002" s="3" t="str">
        <f t="shared" si="1"/>
        <v>Pending evaluation</v>
      </c>
      <c r="H1002" s="4"/>
    </row>
    <row r="1003" ht="15.75" customHeight="1">
      <c r="A1003" s="2" t="s">
        <v>1808</v>
      </c>
      <c r="B1003" s="2" t="s">
        <v>45</v>
      </c>
      <c r="C1003" s="2" t="s">
        <v>36</v>
      </c>
      <c r="D1003" s="2" t="s">
        <v>37</v>
      </c>
      <c r="E1003" s="2" t="s">
        <v>1423</v>
      </c>
      <c r="F1003" s="2" t="s">
        <v>21</v>
      </c>
      <c r="G1003" s="3" t="str">
        <f t="shared" si="1"/>
        <v>Pending evaluation</v>
      </c>
      <c r="H1003" s="4"/>
    </row>
    <row r="1004" ht="15.75" customHeight="1">
      <c r="A1004" s="2" t="s">
        <v>1809</v>
      </c>
      <c r="B1004" s="2" t="s">
        <v>45</v>
      </c>
      <c r="C1004" s="2" t="s">
        <v>36</v>
      </c>
      <c r="D1004" s="2" t="s">
        <v>37</v>
      </c>
      <c r="E1004" s="2" t="s">
        <v>1423</v>
      </c>
      <c r="F1004" s="2" t="s">
        <v>21</v>
      </c>
      <c r="G1004" s="3" t="str">
        <f t="shared" si="1"/>
        <v>Pending evaluation</v>
      </c>
      <c r="H1004" s="4"/>
    </row>
    <row r="1005" ht="15.75" customHeight="1">
      <c r="A1005" s="2" t="s">
        <v>1810</v>
      </c>
      <c r="B1005" s="2" t="s">
        <v>45</v>
      </c>
      <c r="C1005" s="2" t="s">
        <v>36</v>
      </c>
      <c r="D1005" s="2" t="s">
        <v>37</v>
      </c>
      <c r="E1005" s="2" t="s">
        <v>1423</v>
      </c>
      <c r="F1005" s="2" t="s">
        <v>21</v>
      </c>
      <c r="G1005" s="3" t="str">
        <f t="shared" si="1"/>
        <v>Pending evaluation</v>
      </c>
      <c r="H1005" s="4"/>
    </row>
    <row r="1006" ht="15.75" customHeight="1">
      <c r="A1006" s="2" t="s">
        <v>1811</v>
      </c>
      <c r="B1006" s="2" t="s">
        <v>45</v>
      </c>
      <c r="C1006" s="2" t="s">
        <v>36</v>
      </c>
      <c r="D1006" s="2" t="s">
        <v>37</v>
      </c>
      <c r="E1006" s="2" t="s">
        <v>1423</v>
      </c>
      <c r="F1006" s="2" t="s">
        <v>21</v>
      </c>
      <c r="G1006" s="3" t="str">
        <f t="shared" si="1"/>
        <v>Pending evaluation</v>
      </c>
      <c r="H1006" s="4"/>
    </row>
    <row r="1007" ht="15.75" customHeight="1">
      <c r="A1007" s="2" t="s">
        <v>1812</v>
      </c>
      <c r="B1007" s="2" t="s">
        <v>45</v>
      </c>
      <c r="C1007" s="2" t="s">
        <v>36</v>
      </c>
      <c r="D1007" s="2" t="s">
        <v>37</v>
      </c>
      <c r="E1007" s="2" t="s">
        <v>1423</v>
      </c>
      <c r="F1007" s="2" t="s">
        <v>21</v>
      </c>
      <c r="G1007" s="3" t="str">
        <f t="shared" si="1"/>
        <v>Pending evaluation</v>
      </c>
      <c r="H1007" s="4"/>
    </row>
    <row r="1008" ht="15.75" customHeight="1">
      <c r="A1008" s="2" t="s">
        <v>1813</v>
      </c>
      <c r="B1008" s="2" t="s">
        <v>45</v>
      </c>
      <c r="C1008" s="2" t="s">
        <v>36</v>
      </c>
      <c r="D1008" s="2" t="s">
        <v>37</v>
      </c>
      <c r="E1008" s="2" t="s">
        <v>1423</v>
      </c>
      <c r="F1008" s="2" t="s">
        <v>21</v>
      </c>
      <c r="G1008" s="3" t="str">
        <f t="shared" si="1"/>
        <v>Pending evaluation</v>
      </c>
      <c r="H1008" s="4"/>
    </row>
    <row r="1009" ht="15.75" customHeight="1">
      <c r="A1009" s="2" t="s">
        <v>1814</v>
      </c>
      <c r="B1009" s="2" t="s">
        <v>45</v>
      </c>
      <c r="C1009" s="2" t="s">
        <v>36</v>
      </c>
      <c r="D1009" s="2" t="s">
        <v>37</v>
      </c>
      <c r="E1009" s="2" t="s">
        <v>1423</v>
      </c>
      <c r="F1009" s="2" t="s">
        <v>21</v>
      </c>
      <c r="G1009" s="3" t="str">
        <f t="shared" si="1"/>
        <v>Pending evaluation</v>
      </c>
      <c r="H1009" s="4"/>
    </row>
    <row r="1010" ht="15.75" customHeight="1">
      <c r="A1010" s="2" t="s">
        <v>1815</v>
      </c>
      <c r="B1010" s="2" t="s">
        <v>45</v>
      </c>
      <c r="C1010" s="2" t="s">
        <v>36</v>
      </c>
      <c r="D1010" s="2" t="s">
        <v>37</v>
      </c>
      <c r="E1010" s="2" t="s">
        <v>1423</v>
      </c>
      <c r="F1010" s="2" t="s">
        <v>21</v>
      </c>
      <c r="G1010" s="3" t="str">
        <f t="shared" si="1"/>
        <v>Pending evaluation</v>
      </c>
      <c r="H1010" s="4"/>
    </row>
    <row r="1011" ht="15.75" customHeight="1">
      <c r="A1011" s="2" t="s">
        <v>1816</v>
      </c>
      <c r="B1011" s="2" t="s">
        <v>45</v>
      </c>
      <c r="C1011" s="2" t="s">
        <v>36</v>
      </c>
      <c r="D1011" s="2" t="s">
        <v>37</v>
      </c>
      <c r="E1011" s="2" t="s">
        <v>1423</v>
      </c>
      <c r="F1011" s="2" t="s">
        <v>21</v>
      </c>
      <c r="G1011" s="3" t="str">
        <f t="shared" si="1"/>
        <v>Pending evaluation</v>
      </c>
      <c r="H1011" s="4"/>
    </row>
    <row r="1012" ht="15.75" customHeight="1">
      <c r="A1012" s="2" t="s">
        <v>1817</v>
      </c>
      <c r="B1012" s="2" t="s">
        <v>45</v>
      </c>
      <c r="C1012" s="2" t="s">
        <v>36</v>
      </c>
      <c r="D1012" s="2" t="s">
        <v>37</v>
      </c>
      <c r="E1012" s="2" t="s">
        <v>1423</v>
      </c>
      <c r="F1012" s="2" t="s">
        <v>21</v>
      </c>
      <c r="G1012" s="3" t="str">
        <f t="shared" si="1"/>
        <v>Pending evaluation</v>
      </c>
      <c r="H1012" s="4"/>
    </row>
    <row r="1013" ht="15.75" customHeight="1">
      <c r="A1013" s="2" t="s">
        <v>1818</v>
      </c>
      <c r="B1013" s="2" t="s">
        <v>45</v>
      </c>
      <c r="C1013" s="2" t="s">
        <v>36</v>
      </c>
      <c r="D1013" s="2" t="s">
        <v>37</v>
      </c>
      <c r="E1013" s="2" t="s">
        <v>1423</v>
      </c>
      <c r="F1013" s="2" t="s">
        <v>21</v>
      </c>
      <c r="G1013" s="3" t="str">
        <f t="shared" si="1"/>
        <v>Pending evaluation</v>
      </c>
      <c r="H1013" s="4"/>
    </row>
    <row r="1014" ht="15.75" customHeight="1">
      <c r="A1014" s="2" t="s">
        <v>1819</v>
      </c>
      <c r="B1014" s="2" t="s">
        <v>45</v>
      </c>
      <c r="C1014" s="2" t="s">
        <v>36</v>
      </c>
      <c r="D1014" s="2" t="s">
        <v>37</v>
      </c>
      <c r="E1014" s="2" t="s">
        <v>1423</v>
      </c>
      <c r="F1014" s="2" t="s">
        <v>21</v>
      </c>
      <c r="G1014" s="3" t="str">
        <f t="shared" si="1"/>
        <v>Pending evaluation</v>
      </c>
      <c r="H1014" s="4"/>
    </row>
    <row r="1015" ht="15.75" customHeight="1">
      <c r="A1015" s="2" t="s">
        <v>1820</v>
      </c>
      <c r="B1015" s="2" t="s">
        <v>45</v>
      </c>
      <c r="C1015" s="2" t="s">
        <v>36</v>
      </c>
      <c r="D1015" s="2" t="s">
        <v>37</v>
      </c>
      <c r="E1015" s="2" t="s">
        <v>1423</v>
      </c>
      <c r="F1015" s="2" t="s">
        <v>21</v>
      </c>
      <c r="G1015" s="3" t="str">
        <f t="shared" si="1"/>
        <v>Pending evaluation</v>
      </c>
      <c r="H1015" s="4"/>
    </row>
    <row r="1016" ht="15.75" customHeight="1">
      <c r="A1016" s="2" t="s">
        <v>1821</v>
      </c>
      <c r="B1016" s="2" t="s">
        <v>45</v>
      </c>
      <c r="C1016" s="2" t="s">
        <v>36</v>
      </c>
      <c r="D1016" s="2" t="s">
        <v>37</v>
      </c>
      <c r="E1016" s="2" t="s">
        <v>1423</v>
      </c>
      <c r="F1016" s="2" t="s">
        <v>21</v>
      </c>
      <c r="G1016" s="3" t="str">
        <f t="shared" si="1"/>
        <v>Pending evaluation</v>
      </c>
      <c r="H1016" s="4"/>
    </row>
    <row r="1017" ht="15.75" customHeight="1">
      <c r="A1017" s="2" t="s">
        <v>1822</v>
      </c>
      <c r="B1017" s="2" t="s">
        <v>45</v>
      </c>
      <c r="C1017" s="2" t="s">
        <v>36</v>
      </c>
      <c r="D1017" s="2" t="s">
        <v>37</v>
      </c>
      <c r="E1017" s="2" t="s">
        <v>1423</v>
      </c>
      <c r="F1017" s="2" t="s">
        <v>21</v>
      </c>
      <c r="G1017" s="3" t="str">
        <f t="shared" si="1"/>
        <v>Pending evaluation</v>
      </c>
      <c r="H1017" s="4"/>
    </row>
    <row r="1018" ht="15.75" customHeight="1">
      <c r="A1018" s="2" t="s">
        <v>1823</v>
      </c>
      <c r="B1018" s="2" t="s">
        <v>45</v>
      </c>
      <c r="C1018" s="2" t="s">
        <v>36</v>
      </c>
      <c r="D1018" s="2" t="s">
        <v>37</v>
      </c>
      <c r="E1018" s="2" t="s">
        <v>1423</v>
      </c>
      <c r="F1018" s="2" t="s">
        <v>21</v>
      </c>
      <c r="G1018" s="3" t="str">
        <f t="shared" si="1"/>
        <v>Pending evaluation</v>
      </c>
      <c r="H1018" s="4"/>
    </row>
    <row r="1019" ht="15.75" customHeight="1">
      <c r="A1019" s="2" t="s">
        <v>1824</v>
      </c>
      <c r="B1019" s="2" t="s">
        <v>45</v>
      </c>
      <c r="C1019" s="2" t="s">
        <v>36</v>
      </c>
      <c r="D1019" s="2" t="s">
        <v>37</v>
      </c>
      <c r="E1019" s="2" t="s">
        <v>1423</v>
      </c>
      <c r="F1019" s="2" t="s">
        <v>21</v>
      </c>
      <c r="G1019" s="3" t="str">
        <f t="shared" si="1"/>
        <v>Pending evaluation</v>
      </c>
      <c r="H1019" s="4"/>
    </row>
    <row r="1020" ht="15.75" customHeight="1">
      <c r="A1020" s="2" t="s">
        <v>1825</v>
      </c>
      <c r="B1020" s="2" t="s">
        <v>45</v>
      </c>
      <c r="C1020" s="2" t="s">
        <v>36</v>
      </c>
      <c r="D1020" s="2" t="s">
        <v>37</v>
      </c>
      <c r="E1020" s="2" t="s">
        <v>1423</v>
      </c>
      <c r="F1020" s="2" t="s">
        <v>21</v>
      </c>
      <c r="G1020" s="3" t="str">
        <f t="shared" si="1"/>
        <v>Pending evaluation</v>
      </c>
      <c r="H1020" s="4"/>
    </row>
    <row r="1021" ht="15.75" customHeight="1">
      <c r="A1021" s="2" t="s">
        <v>1826</v>
      </c>
      <c r="B1021" s="2" t="s">
        <v>45</v>
      </c>
      <c r="C1021" s="2" t="s">
        <v>36</v>
      </c>
      <c r="D1021" s="2" t="s">
        <v>37</v>
      </c>
      <c r="E1021" s="2" t="s">
        <v>1423</v>
      </c>
      <c r="F1021" s="2" t="s">
        <v>21</v>
      </c>
      <c r="G1021" s="3" t="str">
        <f t="shared" si="1"/>
        <v>Pending evaluation</v>
      </c>
      <c r="H1021" s="4"/>
    </row>
    <row r="1022" ht="15.75" customHeight="1">
      <c r="A1022" s="2" t="s">
        <v>1827</v>
      </c>
      <c r="B1022" s="2" t="s">
        <v>45</v>
      </c>
      <c r="C1022" s="2" t="s">
        <v>36</v>
      </c>
      <c r="D1022" s="2" t="s">
        <v>37</v>
      </c>
      <c r="E1022" s="2" t="s">
        <v>1423</v>
      </c>
      <c r="F1022" s="2" t="s">
        <v>21</v>
      </c>
      <c r="G1022" s="3" t="str">
        <f t="shared" si="1"/>
        <v>Pending evaluation</v>
      </c>
      <c r="H1022" s="4"/>
    </row>
    <row r="1023" ht="15.75" customHeight="1">
      <c r="A1023" s="2" t="s">
        <v>1828</v>
      </c>
      <c r="B1023" s="2" t="s">
        <v>45</v>
      </c>
      <c r="C1023" s="2" t="s">
        <v>36</v>
      </c>
      <c r="D1023" s="2" t="s">
        <v>37</v>
      </c>
      <c r="E1023" s="2" t="s">
        <v>1423</v>
      </c>
      <c r="F1023" s="2" t="s">
        <v>21</v>
      </c>
      <c r="G1023" s="3" t="str">
        <f t="shared" si="1"/>
        <v>Pending evaluation</v>
      </c>
      <c r="H1023" s="4"/>
    </row>
    <row r="1024" ht="15.75" customHeight="1">
      <c r="A1024" s="2" t="s">
        <v>1829</v>
      </c>
      <c r="B1024" s="2" t="s">
        <v>45</v>
      </c>
      <c r="C1024" s="2" t="s">
        <v>36</v>
      </c>
      <c r="D1024" s="2" t="s">
        <v>37</v>
      </c>
      <c r="E1024" s="2" t="s">
        <v>1423</v>
      </c>
      <c r="F1024" s="2" t="s">
        <v>21</v>
      </c>
      <c r="G1024" s="3" t="str">
        <f t="shared" si="1"/>
        <v>Pending evaluation</v>
      </c>
      <c r="H1024" s="4"/>
    </row>
    <row r="1025" ht="15.75" customHeight="1">
      <c r="A1025" s="2" t="s">
        <v>1830</v>
      </c>
      <c r="B1025" s="2" t="s">
        <v>45</v>
      </c>
      <c r="C1025" s="2" t="s">
        <v>36</v>
      </c>
      <c r="D1025" s="2" t="s">
        <v>37</v>
      </c>
      <c r="E1025" s="2" t="s">
        <v>1423</v>
      </c>
      <c r="F1025" s="2" t="s">
        <v>21</v>
      </c>
      <c r="G1025" s="3" t="str">
        <f t="shared" si="1"/>
        <v>Pending evaluation</v>
      </c>
      <c r="H1025" s="4"/>
    </row>
    <row r="1026" ht="15.75" customHeight="1">
      <c r="A1026" s="2" t="s">
        <v>1831</v>
      </c>
      <c r="B1026" s="2" t="s">
        <v>45</v>
      </c>
      <c r="C1026" s="2" t="s">
        <v>36</v>
      </c>
      <c r="D1026" s="2" t="s">
        <v>37</v>
      </c>
      <c r="E1026" s="2" t="s">
        <v>1423</v>
      </c>
      <c r="F1026" s="2" t="s">
        <v>21</v>
      </c>
      <c r="G1026" s="3" t="str">
        <f t="shared" si="1"/>
        <v>Pending evaluation</v>
      </c>
      <c r="H1026" s="4"/>
    </row>
    <row r="1027" ht="15.75" customHeight="1">
      <c r="A1027" s="2" t="s">
        <v>1832</v>
      </c>
      <c r="B1027" s="2" t="s">
        <v>45</v>
      </c>
      <c r="C1027" s="2" t="s">
        <v>36</v>
      </c>
      <c r="D1027" s="2" t="s">
        <v>37</v>
      </c>
      <c r="E1027" s="2" t="s">
        <v>1423</v>
      </c>
      <c r="F1027" s="2" t="s">
        <v>21</v>
      </c>
      <c r="G1027" s="3" t="str">
        <f t="shared" si="1"/>
        <v>Pending evaluation</v>
      </c>
      <c r="H1027" s="4"/>
    </row>
    <row r="1028" ht="15.75" customHeight="1">
      <c r="A1028" s="2" t="s">
        <v>1833</v>
      </c>
      <c r="B1028" s="2" t="s">
        <v>45</v>
      </c>
      <c r="C1028" s="2" t="s">
        <v>36</v>
      </c>
      <c r="D1028" s="2" t="s">
        <v>37</v>
      </c>
      <c r="E1028" s="2" t="s">
        <v>1423</v>
      </c>
      <c r="F1028" s="2" t="s">
        <v>21</v>
      </c>
      <c r="G1028" s="3" t="str">
        <f t="shared" si="1"/>
        <v>Pending evaluation</v>
      </c>
      <c r="H1028" s="4"/>
    </row>
    <row r="1029" ht="15.75" customHeight="1">
      <c r="A1029" s="2" t="s">
        <v>1834</v>
      </c>
      <c r="B1029" s="2" t="s">
        <v>45</v>
      </c>
      <c r="C1029" s="2" t="s">
        <v>36</v>
      </c>
      <c r="D1029" s="2" t="s">
        <v>37</v>
      </c>
      <c r="E1029" s="2" t="s">
        <v>1423</v>
      </c>
      <c r="F1029" s="2" t="s">
        <v>21</v>
      </c>
      <c r="G1029" s="3" t="str">
        <f t="shared" si="1"/>
        <v>Pending evaluation</v>
      </c>
      <c r="H1029" s="4"/>
    </row>
    <row r="1030" ht="15.75" customHeight="1">
      <c r="A1030" s="2" t="s">
        <v>1835</v>
      </c>
      <c r="B1030" s="2" t="s">
        <v>45</v>
      </c>
      <c r="C1030" s="2" t="s">
        <v>36</v>
      </c>
      <c r="D1030" s="2" t="s">
        <v>37</v>
      </c>
      <c r="E1030" s="2" t="s">
        <v>1423</v>
      </c>
      <c r="F1030" s="2" t="s">
        <v>21</v>
      </c>
      <c r="G1030" s="3" t="str">
        <f t="shared" si="1"/>
        <v>Pending evaluation</v>
      </c>
      <c r="H1030" s="4"/>
    </row>
    <row r="1031" ht="15.75" customHeight="1">
      <c r="A1031" s="2" t="s">
        <v>1836</v>
      </c>
      <c r="B1031" s="2" t="s">
        <v>45</v>
      </c>
      <c r="C1031" s="2" t="s">
        <v>36</v>
      </c>
      <c r="D1031" s="2" t="s">
        <v>37</v>
      </c>
      <c r="E1031" s="2" t="s">
        <v>1423</v>
      </c>
      <c r="F1031" s="2" t="s">
        <v>21</v>
      </c>
      <c r="G1031" s="3" t="str">
        <f t="shared" si="1"/>
        <v>Pending evaluation</v>
      </c>
      <c r="H1031" s="4"/>
    </row>
    <row r="1032" ht="15.75" customHeight="1">
      <c r="A1032" s="2" t="s">
        <v>1837</v>
      </c>
      <c r="B1032" s="2" t="s">
        <v>45</v>
      </c>
      <c r="C1032" s="2" t="s">
        <v>36</v>
      </c>
      <c r="D1032" s="2" t="s">
        <v>37</v>
      </c>
      <c r="E1032" s="2" t="s">
        <v>1423</v>
      </c>
      <c r="F1032" s="2" t="s">
        <v>21</v>
      </c>
      <c r="G1032" s="3" t="str">
        <f t="shared" si="1"/>
        <v>Pending evaluation</v>
      </c>
      <c r="H1032" s="4"/>
    </row>
    <row r="1033" ht="15.75" customHeight="1">
      <c r="A1033" s="2" t="s">
        <v>1838</v>
      </c>
      <c r="B1033" s="2" t="s">
        <v>45</v>
      </c>
      <c r="C1033" s="2" t="s">
        <v>36</v>
      </c>
      <c r="D1033" s="2" t="s">
        <v>37</v>
      </c>
      <c r="E1033" s="2" t="s">
        <v>1423</v>
      </c>
      <c r="F1033" s="2" t="s">
        <v>21</v>
      </c>
      <c r="G1033" s="3" t="str">
        <f t="shared" si="1"/>
        <v>Pending evaluation</v>
      </c>
      <c r="H1033" s="4"/>
    </row>
    <row r="1034" ht="15.75" customHeight="1">
      <c r="A1034" s="2" t="s">
        <v>1839</v>
      </c>
      <c r="B1034" s="2" t="s">
        <v>45</v>
      </c>
      <c r="C1034" s="2" t="s">
        <v>36</v>
      </c>
      <c r="D1034" s="2" t="s">
        <v>37</v>
      </c>
      <c r="E1034" s="2" t="s">
        <v>1423</v>
      </c>
      <c r="F1034" s="2" t="s">
        <v>21</v>
      </c>
      <c r="G1034" s="3" t="str">
        <f t="shared" si="1"/>
        <v>Pending evaluation</v>
      </c>
      <c r="H1034" s="4"/>
    </row>
    <row r="1035" ht="15.75" customHeight="1">
      <c r="A1035" s="2" t="s">
        <v>1840</v>
      </c>
      <c r="B1035" s="2" t="s">
        <v>45</v>
      </c>
      <c r="C1035" s="2" t="s">
        <v>36</v>
      </c>
      <c r="D1035" s="2" t="s">
        <v>37</v>
      </c>
      <c r="E1035" s="2" t="s">
        <v>1423</v>
      </c>
      <c r="F1035" s="2" t="s">
        <v>21</v>
      </c>
      <c r="G1035" s="3" t="str">
        <f t="shared" si="1"/>
        <v>Pending evaluation</v>
      </c>
      <c r="H1035" s="4"/>
    </row>
    <row r="1036" ht="15.75" customHeight="1">
      <c r="A1036" s="2" t="s">
        <v>1841</v>
      </c>
      <c r="B1036" s="2" t="s">
        <v>45</v>
      </c>
      <c r="C1036" s="2" t="s">
        <v>36</v>
      </c>
      <c r="D1036" s="2" t="s">
        <v>37</v>
      </c>
      <c r="E1036" s="2" t="s">
        <v>1423</v>
      </c>
      <c r="F1036" s="2" t="s">
        <v>21</v>
      </c>
      <c r="G1036" s="3" t="str">
        <f t="shared" si="1"/>
        <v>Pending evaluation</v>
      </c>
      <c r="H1036" s="4"/>
    </row>
    <row r="1037" ht="15.75" customHeight="1">
      <c r="A1037" s="2" t="s">
        <v>1842</v>
      </c>
      <c r="B1037" s="2" t="s">
        <v>45</v>
      </c>
      <c r="C1037" s="2" t="s">
        <v>36</v>
      </c>
      <c r="D1037" s="2" t="s">
        <v>37</v>
      </c>
      <c r="E1037" s="2" t="s">
        <v>1423</v>
      </c>
      <c r="F1037" s="2" t="s">
        <v>21</v>
      </c>
      <c r="G1037" s="3" t="str">
        <f t="shared" si="1"/>
        <v>Pending evaluation</v>
      </c>
      <c r="H1037" s="4"/>
    </row>
    <row r="1038" ht="15.75" customHeight="1">
      <c r="A1038" s="2" t="s">
        <v>1843</v>
      </c>
      <c r="B1038" s="2" t="s">
        <v>45</v>
      </c>
      <c r="C1038" s="2" t="s">
        <v>36</v>
      </c>
      <c r="D1038" s="2" t="s">
        <v>37</v>
      </c>
      <c r="E1038" s="2" t="s">
        <v>1423</v>
      </c>
      <c r="F1038" s="2" t="s">
        <v>21</v>
      </c>
      <c r="G1038" s="3" t="str">
        <f t="shared" si="1"/>
        <v>Pending evaluation</v>
      </c>
      <c r="H1038" s="4"/>
    </row>
    <row r="1039" ht="15.75" customHeight="1">
      <c r="A1039" s="2" t="s">
        <v>1844</v>
      </c>
      <c r="B1039" s="2" t="s">
        <v>45</v>
      </c>
      <c r="C1039" s="2" t="s">
        <v>36</v>
      </c>
      <c r="D1039" s="2" t="s">
        <v>37</v>
      </c>
      <c r="E1039" s="2" t="s">
        <v>1423</v>
      </c>
      <c r="F1039" s="2" t="s">
        <v>21</v>
      </c>
      <c r="G1039" s="3" t="str">
        <f t="shared" si="1"/>
        <v>Pending evaluation</v>
      </c>
      <c r="H1039" s="4"/>
    </row>
    <row r="1040" ht="15.75" customHeight="1">
      <c r="A1040" s="2" t="s">
        <v>1845</v>
      </c>
      <c r="B1040" s="2" t="s">
        <v>45</v>
      </c>
      <c r="C1040" s="2" t="s">
        <v>36</v>
      </c>
      <c r="D1040" s="2" t="s">
        <v>37</v>
      </c>
      <c r="E1040" s="2" t="s">
        <v>1423</v>
      </c>
      <c r="F1040" s="2" t="s">
        <v>21</v>
      </c>
      <c r="G1040" s="3" t="str">
        <f t="shared" si="1"/>
        <v>Pending evaluation</v>
      </c>
      <c r="H1040" s="4"/>
    </row>
    <row r="1041" ht="15.75" customHeight="1">
      <c r="A1041" s="2" t="s">
        <v>1846</v>
      </c>
      <c r="B1041" s="2" t="s">
        <v>45</v>
      </c>
      <c r="C1041" s="2" t="s">
        <v>36</v>
      </c>
      <c r="D1041" s="2" t="s">
        <v>37</v>
      </c>
      <c r="E1041" s="2" t="s">
        <v>1423</v>
      </c>
      <c r="F1041" s="2" t="s">
        <v>21</v>
      </c>
      <c r="G1041" s="3" t="str">
        <f t="shared" si="1"/>
        <v>Pending evaluation</v>
      </c>
      <c r="H1041" s="4"/>
    </row>
    <row r="1042" ht="15.75" customHeight="1">
      <c r="A1042" s="2" t="s">
        <v>1847</v>
      </c>
      <c r="B1042" s="2" t="s">
        <v>45</v>
      </c>
      <c r="C1042" s="2" t="s">
        <v>36</v>
      </c>
      <c r="D1042" s="2" t="s">
        <v>37</v>
      </c>
      <c r="E1042" s="2" t="s">
        <v>1423</v>
      </c>
      <c r="F1042" s="2" t="s">
        <v>21</v>
      </c>
      <c r="G1042" s="3" t="str">
        <f t="shared" si="1"/>
        <v>Pending evaluation</v>
      </c>
      <c r="H1042" s="4"/>
    </row>
    <row r="1043" ht="15.75" customHeight="1">
      <c r="A1043" s="2" t="s">
        <v>1848</v>
      </c>
      <c r="B1043" s="2" t="s">
        <v>45</v>
      </c>
      <c r="C1043" s="2" t="s">
        <v>36</v>
      </c>
      <c r="D1043" s="2" t="s">
        <v>37</v>
      </c>
      <c r="E1043" s="2" t="s">
        <v>1423</v>
      </c>
      <c r="F1043" s="2" t="s">
        <v>21</v>
      </c>
      <c r="G1043" s="3" t="str">
        <f t="shared" si="1"/>
        <v>Pending evaluation</v>
      </c>
      <c r="H1043" s="4"/>
    </row>
    <row r="1044" ht="15.75" customHeight="1">
      <c r="A1044" s="2" t="s">
        <v>1849</v>
      </c>
      <c r="B1044" s="2" t="s">
        <v>45</v>
      </c>
      <c r="C1044" s="2" t="s">
        <v>36</v>
      </c>
      <c r="D1044" s="2" t="s">
        <v>37</v>
      </c>
      <c r="E1044" s="2" t="s">
        <v>1423</v>
      </c>
      <c r="F1044" s="2" t="s">
        <v>21</v>
      </c>
      <c r="G1044" s="3" t="str">
        <f t="shared" si="1"/>
        <v>Pending evaluation</v>
      </c>
      <c r="H1044" s="4"/>
    </row>
    <row r="1045" ht="15.75" customHeight="1">
      <c r="A1045" s="2" t="s">
        <v>1850</v>
      </c>
      <c r="B1045" s="2" t="s">
        <v>45</v>
      </c>
      <c r="C1045" s="2" t="s">
        <v>36</v>
      </c>
      <c r="D1045" s="2" t="s">
        <v>37</v>
      </c>
      <c r="E1045" s="2" t="s">
        <v>1423</v>
      </c>
      <c r="F1045" s="2" t="s">
        <v>21</v>
      </c>
      <c r="G1045" s="3" t="str">
        <f t="shared" si="1"/>
        <v>Pending evaluation</v>
      </c>
      <c r="H1045" s="4"/>
    </row>
    <row r="1046" ht="15.75" customHeight="1">
      <c r="A1046" s="2" t="s">
        <v>1851</v>
      </c>
      <c r="B1046" s="2" t="s">
        <v>45</v>
      </c>
      <c r="C1046" s="2" t="s">
        <v>36</v>
      </c>
      <c r="D1046" s="2" t="s">
        <v>37</v>
      </c>
      <c r="E1046" s="2" t="s">
        <v>1423</v>
      </c>
      <c r="F1046" s="2" t="s">
        <v>21</v>
      </c>
      <c r="G1046" s="3" t="str">
        <f t="shared" si="1"/>
        <v>Pending evaluation</v>
      </c>
      <c r="H1046" s="4"/>
    </row>
    <row r="1047" ht="15.75" customHeight="1">
      <c r="A1047" s="2" t="s">
        <v>1852</v>
      </c>
      <c r="B1047" s="2" t="s">
        <v>45</v>
      </c>
      <c r="C1047" s="2" t="s">
        <v>36</v>
      </c>
      <c r="D1047" s="2" t="s">
        <v>37</v>
      </c>
      <c r="E1047" s="2" t="s">
        <v>1423</v>
      </c>
      <c r="F1047" s="2" t="s">
        <v>21</v>
      </c>
      <c r="G1047" s="3" t="str">
        <f t="shared" si="1"/>
        <v>Pending evaluation</v>
      </c>
      <c r="H1047" s="4"/>
    </row>
    <row r="1048" ht="15.75" customHeight="1">
      <c r="A1048" s="2" t="s">
        <v>1853</v>
      </c>
      <c r="B1048" s="2" t="s">
        <v>45</v>
      </c>
      <c r="C1048" s="2" t="s">
        <v>36</v>
      </c>
      <c r="D1048" s="2" t="s">
        <v>37</v>
      </c>
      <c r="E1048" s="2" t="s">
        <v>1423</v>
      </c>
      <c r="F1048" s="2" t="s">
        <v>21</v>
      </c>
      <c r="G1048" s="3" t="str">
        <f t="shared" si="1"/>
        <v>Pending evaluation</v>
      </c>
      <c r="H1048" s="4"/>
    </row>
    <row r="1049" ht="15.75" customHeight="1">
      <c r="A1049" s="2" t="s">
        <v>1854</v>
      </c>
      <c r="B1049" s="2" t="s">
        <v>45</v>
      </c>
      <c r="C1049" s="2" t="s">
        <v>36</v>
      </c>
      <c r="D1049" s="2" t="s">
        <v>37</v>
      </c>
      <c r="E1049" s="2" t="s">
        <v>1423</v>
      </c>
      <c r="F1049" s="2" t="s">
        <v>21</v>
      </c>
      <c r="G1049" s="3" t="str">
        <f t="shared" si="1"/>
        <v>Pending evaluation</v>
      </c>
      <c r="H1049" s="4"/>
    </row>
    <row r="1050" ht="15.75" customHeight="1">
      <c r="A1050" s="2" t="s">
        <v>1855</v>
      </c>
      <c r="B1050" s="2" t="s">
        <v>45</v>
      </c>
      <c r="C1050" s="2" t="s">
        <v>36</v>
      </c>
      <c r="D1050" s="2" t="s">
        <v>37</v>
      </c>
      <c r="E1050" s="2" t="s">
        <v>1423</v>
      </c>
      <c r="F1050" s="2" t="s">
        <v>21</v>
      </c>
      <c r="G1050" s="3" t="str">
        <f t="shared" si="1"/>
        <v>Pending evaluation</v>
      </c>
      <c r="H1050" s="4"/>
    </row>
    <row r="1051" ht="15.75" customHeight="1">
      <c r="A1051" s="2" t="s">
        <v>1856</v>
      </c>
      <c r="B1051" s="2" t="s">
        <v>45</v>
      </c>
      <c r="C1051" s="2" t="s">
        <v>36</v>
      </c>
      <c r="D1051" s="2" t="s">
        <v>37</v>
      </c>
      <c r="E1051" s="2" t="s">
        <v>1423</v>
      </c>
      <c r="F1051" s="2" t="s">
        <v>21</v>
      </c>
      <c r="G1051" s="3" t="str">
        <f t="shared" si="1"/>
        <v>Pending evaluation</v>
      </c>
      <c r="H1051" s="4"/>
    </row>
    <row r="1052" ht="15.75" customHeight="1">
      <c r="A1052" s="2" t="s">
        <v>1857</v>
      </c>
      <c r="B1052" s="2" t="s">
        <v>45</v>
      </c>
      <c r="C1052" s="2" t="s">
        <v>36</v>
      </c>
      <c r="D1052" s="2" t="s">
        <v>37</v>
      </c>
      <c r="E1052" s="2" t="s">
        <v>1423</v>
      </c>
      <c r="F1052" s="2" t="s">
        <v>21</v>
      </c>
      <c r="G1052" s="3" t="str">
        <f t="shared" si="1"/>
        <v>Pending evaluation</v>
      </c>
      <c r="H1052" s="4"/>
    </row>
    <row r="1053" ht="15.75" customHeight="1">
      <c r="A1053" s="2" t="s">
        <v>1858</v>
      </c>
      <c r="B1053" s="2" t="s">
        <v>45</v>
      </c>
      <c r="C1053" s="2" t="s">
        <v>36</v>
      </c>
      <c r="D1053" s="2" t="s">
        <v>37</v>
      </c>
      <c r="E1053" s="2" t="s">
        <v>1423</v>
      </c>
      <c r="F1053" s="2" t="s">
        <v>21</v>
      </c>
      <c r="G1053" s="3" t="str">
        <f t="shared" si="1"/>
        <v>Pending evaluation</v>
      </c>
      <c r="H1053" s="4"/>
    </row>
    <row r="1054" ht="15.75" customHeight="1">
      <c r="A1054" s="2" t="s">
        <v>1859</v>
      </c>
      <c r="B1054" s="2" t="s">
        <v>45</v>
      </c>
      <c r="C1054" s="2" t="s">
        <v>36</v>
      </c>
      <c r="D1054" s="2" t="s">
        <v>37</v>
      </c>
      <c r="E1054" s="2" t="s">
        <v>1423</v>
      </c>
      <c r="F1054" s="2" t="s">
        <v>21</v>
      </c>
      <c r="G1054" s="3" t="str">
        <f t="shared" si="1"/>
        <v>Pending evaluation</v>
      </c>
      <c r="H1054" s="4"/>
    </row>
    <row r="1055" ht="15.75" customHeight="1">
      <c r="A1055" s="2" t="s">
        <v>1860</v>
      </c>
      <c r="B1055" s="2" t="s">
        <v>45</v>
      </c>
      <c r="C1055" s="2" t="s">
        <v>36</v>
      </c>
      <c r="D1055" s="2" t="s">
        <v>37</v>
      </c>
      <c r="E1055" s="2" t="s">
        <v>1423</v>
      </c>
      <c r="F1055" s="2" t="s">
        <v>21</v>
      </c>
      <c r="G1055" s="3" t="str">
        <f t="shared" si="1"/>
        <v>Pending evaluation</v>
      </c>
      <c r="H1055" s="4"/>
    </row>
    <row r="1056" ht="15.75" customHeight="1">
      <c r="A1056" s="2" t="s">
        <v>1861</v>
      </c>
      <c r="B1056" s="2" t="s">
        <v>45</v>
      </c>
      <c r="C1056" s="2" t="s">
        <v>36</v>
      </c>
      <c r="D1056" s="2" t="s">
        <v>37</v>
      </c>
      <c r="E1056" s="2" t="s">
        <v>1423</v>
      </c>
      <c r="F1056" s="2" t="s">
        <v>21</v>
      </c>
      <c r="G1056" s="3" t="str">
        <f t="shared" si="1"/>
        <v>Pending evaluation</v>
      </c>
      <c r="H1056" s="4"/>
    </row>
    <row r="1057" ht="15.75" customHeight="1">
      <c r="A1057" s="2" t="s">
        <v>1862</v>
      </c>
      <c r="B1057" s="2" t="s">
        <v>45</v>
      </c>
      <c r="C1057" s="2" t="s">
        <v>36</v>
      </c>
      <c r="D1057" s="2" t="s">
        <v>37</v>
      </c>
      <c r="E1057" s="2" t="s">
        <v>1423</v>
      </c>
      <c r="F1057" s="2" t="s">
        <v>21</v>
      </c>
      <c r="G1057" s="3" t="str">
        <f t="shared" si="1"/>
        <v>Pending evaluation</v>
      </c>
      <c r="H1057" s="4"/>
    </row>
    <row r="1058" ht="15.75" customHeight="1">
      <c r="A1058" s="2" t="s">
        <v>1863</v>
      </c>
      <c r="B1058" s="2" t="s">
        <v>45</v>
      </c>
      <c r="C1058" s="2" t="s">
        <v>36</v>
      </c>
      <c r="D1058" s="2" t="s">
        <v>37</v>
      </c>
      <c r="E1058" s="2" t="s">
        <v>1423</v>
      </c>
      <c r="F1058" s="2" t="s">
        <v>21</v>
      </c>
      <c r="G1058" s="3" t="str">
        <f t="shared" si="1"/>
        <v>Pending evaluation</v>
      </c>
      <c r="H1058" s="4"/>
    </row>
    <row r="1059" ht="15.75" customHeight="1">
      <c r="A1059" s="2" t="s">
        <v>1864</v>
      </c>
      <c r="B1059" s="2" t="s">
        <v>45</v>
      </c>
      <c r="C1059" s="2" t="s">
        <v>36</v>
      </c>
      <c r="D1059" s="2" t="s">
        <v>37</v>
      </c>
      <c r="E1059" s="2" t="s">
        <v>1423</v>
      </c>
      <c r="F1059" s="2" t="s">
        <v>21</v>
      </c>
      <c r="G1059" s="3" t="str">
        <f t="shared" si="1"/>
        <v>Pending evaluation</v>
      </c>
      <c r="H1059" s="4"/>
    </row>
    <row r="1060" ht="15.75" customHeight="1">
      <c r="A1060" s="2" t="s">
        <v>1865</v>
      </c>
      <c r="B1060" s="2" t="s">
        <v>45</v>
      </c>
      <c r="C1060" s="2" t="s">
        <v>36</v>
      </c>
      <c r="D1060" s="2" t="s">
        <v>37</v>
      </c>
      <c r="E1060" s="2" t="s">
        <v>1423</v>
      </c>
      <c r="F1060" s="2" t="s">
        <v>21</v>
      </c>
      <c r="G1060" s="3" t="str">
        <f t="shared" si="1"/>
        <v>Pending evaluation</v>
      </c>
      <c r="H1060" s="4"/>
    </row>
    <row r="1061" ht="15.75" customHeight="1">
      <c r="A1061" s="2" t="s">
        <v>1866</v>
      </c>
      <c r="B1061" s="2" t="s">
        <v>45</v>
      </c>
      <c r="C1061" s="2" t="s">
        <v>36</v>
      </c>
      <c r="D1061" s="2" t="s">
        <v>37</v>
      </c>
      <c r="E1061" s="2" t="s">
        <v>1423</v>
      </c>
      <c r="F1061" s="2" t="s">
        <v>21</v>
      </c>
      <c r="G1061" s="3" t="str">
        <f t="shared" si="1"/>
        <v>Pending evaluation</v>
      </c>
      <c r="H1061" s="4"/>
    </row>
    <row r="1062" ht="15.75" customHeight="1">
      <c r="A1062" s="2" t="s">
        <v>1867</v>
      </c>
      <c r="B1062" s="2" t="s">
        <v>45</v>
      </c>
      <c r="C1062" s="2" t="s">
        <v>36</v>
      </c>
      <c r="D1062" s="2" t="s">
        <v>37</v>
      </c>
      <c r="E1062" s="2" t="s">
        <v>1423</v>
      </c>
      <c r="F1062" s="2" t="s">
        <v>21</v>
      </c>
      <c r="G1062" s="3" t="str">
        <f t="shared" si="1"/>
        <v>Pending evaluation</v>
      </c>
      <c r="H1062" s="4"/>
    </row>
    <row r="1063" ht="15.75" customHeight="1">
      <c r="A1063" s="2" t="s">
        <v>1868</v>
      </c>
      <c r="B1063" s="2" t="s">
        <v>45</v>
      </c>
      <c r="C1063" s="2" t="s">
        <v>36</v>
      </c>
      <c r="D1063" s="2" t="s">
        <v>37</v>
      </c>
      <c r="E1063" s="2" t="s">
        <v>1423</v>
      </c>
      <c r="F1063" s="2" t="s">
        <v>21</v>
      </c>
      <c r="G1063" s="3" t="str">
        <f t="shared" si="1"/>
        <v>Pending evaluation</v>
      </c>
      <c r="H1063" s="4"/>
    </row>
    <row r="1064" ht="15.75" customHeight="1">
      <c r="A1064" s="2" t="s">
        <v>1869</v>
      </c>
      <c r="B1064" s="2" t="s">
        <v>45</v>
      </c>
      <c r="C1064" s="2" t="s">
        <v>36</v>
      </c>
      <c r="D1064" s="2" t="s">
        <v>37</v>
      </c>
      <c r="E1064" s="2" t="s">
        <v>1423</v>
      </c>
      <c r="F1064" s="2" t="s">
        <v>21</v>
      </c>
      <c r="G1064" s="3" t="str">
        <f t="shared" si="1"/>
        <v>Pending evaluation</v>
      </c>
      <c r="H1064" s="4"/>
    </row>
    <row r="1065" ht="15.75" customHeight="1">
      <c r="A1065" s="2" t="s">
        <v>1870</v>
      </c>
      <c r="B1065" s="2" t="s">
        <v>45</v>
      </c>
      <c r="C1065" s="2" t="s">
        <v>36</v>
      </c>
      <c r="D1065" s="2" t="s">
        <v>37</v>
      </c>
      <c r="E1065" s="2" t="s">
        <v>1423</v>
      </c>
      <c r="F1065" s="2" t="s">
        <v>21</v>
      </c>
      <c r="G1065" s="3" t="str">
        <f t="shared" si="1"/>
        <v>Pending evaluation</v>
      </c>
      <c r="H1065" s="4"/>
    </row>
    <row r="1066" ht="15.75" customHeight="1">
      <c r="A1066" s="2" t="s">
        <v>1871</v>
      </c>
      <c r="B1066" s="2" t="s">
        <v>45</v>
      </c>
      <c r="C1066" s="2" t="s">
        <v>36</v>
      </c>
      <c r="D1066" s="2" t="s">
        <v>37</v>
      </c>
      <c r="E1066" s="2" t="s">
        <v>1423</v>
      </c>
      <c r="F1066" s="2" t="s">
        <v>21</v>
      </c>
      <c r="G1066" s="3" t="str">
        <f t="shared" si="1"/>
        <v>Pending evaluation</v>
      </c>
      <c r="H1066" s="4"/>
    </row>
    <row r="1067" ht="15.75" customHeight="1">
      <c r="A1067" s="2" t="s">
        <v>1872</v>
      </c>
      <c r="B1067" s="2" t="s">
        <v>45</v>
      </c>
      <c r="C1067" s="2" t="s">
        <v>36</v>
      </c>
      <c r="D1067" s="2" t="s">
        <v>37</v>
      </c>
      <c r="E1067" s="2" t="s">
        <v>1423</v>
      </c>
      <c r="F1067" s="2" t="s">
        <v>21</v>
      </c>
      <c r="G1067" s="3" t="str">
        <f t="shared" si="1"/>
        <v>Pending evaluation</v>
      </c>
      <c r="H1067" s="4"/>
    </row>
    <row r="1068" ht="15.75" customHeight="1">
      <c r="A1068" s="2" t="s">
        <v>1873</v>
      </c>
      <c r="B1068" s="2" t="s">
        <v>45</v>
      </c>
      <c r="C1068" s="2" t="s">
        <v>36</v>
      </c>
      <c r="D1068" s="2" t="s">
        <v>37</v>
      </c>
      <c r="E1068" s="2" t="s">
        <v>1423</v>
      </c>
      <c r="F1068" s="2" t="s">
        <v>21</v>
      </c>
      <c r="G1068" s="3" t="str">
        <f t="shared" si="1"/>
        <v>Pending evaluation</v>
      </c>
      <c r="H1068" s="4"/>
    </row>
    <row r="1069" ht="15.75" customHeight="1">
      <c r="A1069" s="2" t="s">
        <v>1874</v>
      </c>
      <c r="B1069" s="2" t="s">
        <v>45</v>
      </c>
      <c r="C1069" s="2" t="s">
        <v>36</v>
      </c>
      <c r="D1069" s="2" t="s">
        <v>37</v>
      </c>
      <c r="E1069" s="2" t="s">
        <v>1423</v>
      </c>
      <c r="F1069" s="2" t="s">
        <v>21</v>
      </c>
      <c r="G1069" s="3" t="str">
        <f t="shared" si="1"/>
        <v>Pending evaluation</v>
      </c>
      <c r="H1069" s="4"/>
    </row>
    <row r="1070" ht="15.75" customHeight="1">
      <c r="A1070" s="2" t="s">
        <v>1875</v>
      </c>
      <c r="B1070" s="2" t="s">
        <v>45</v>
      </c>
      <c r="C1070" s="2" t="s">
        <v>36</v>
      </c>
      <c r="D1070" s="2" t="s">
        <v>37</v>
      </c>
      <c r="E1070" s="2" t="s">
        <v>1423</v>
      </c>
      <c r="F1070" s="2" t="s">
        <v>21</v>
      </c>
      <c r="G1070" s="3" t="str">
        <f t="shared" si="1"/>
        <v>Pending evaluation</v>
      </c>
      <c r="H1070" s="4"/>
    </row>
    <row r="1071" ht="15.75" customHeight="1">
      <c r="A1071" s="2" t="s">
        <v>1876</v>
      </c>
      <c r="B1071" s="2" t="s">
        <v>45</v>
      </c>
      <c r="C1071" s="2" t="s">
        <v>36</v>
      </c>
      <c r="D1071" s="2" t="s">
        <v>37</v>
      </c>
      <c r="E1071" s="2" t="s">
        <v>1423</v>
      </c>
      <c r="F1071" s="2" t="s">
        <v>21</v>
      </c>
      <c r="G1071" s="3" t="str">
        <f t="shared" si="1"/>
        <v>Pending evaluation</v>
      </c>
      <c r="H1071" s="4"/>
    </row>
    <row r="1072" ht="15.75" customHeight="1">
      <c r="A1072" s="2" t="s">
        <v>1877</v>
      </c>
      <c r="B1072" s="2" t="s">
        <v>45</v>
      </c>
      <c r="C1072" s="2" t="s">
        <v>36</v>
      </c>
      <c r="D1072" s="2" t="s">
        <v>37</v>
      </c>
      <c r="E1072" s="2" t="s">
        <v>1423</v>
      </c>
      <c r="F1072" s="2" t="s">
        <v>21</v>
      </c>
      <c r="G1072" s="3" t="str">
        <f t="shared" si="1"/>
        <v>Pending evaluation</v>
      </c>
      <c r="H1072" s="4"/>
    </row>
    <row r="1073" ht="15.75" customHeight="1">
      <c r="A1073" s="2" t="s">
        <v>1878</v>
      </c>
      <c r="B1073" s="2" t="s">
        <v>45</v>
      </c>
      <c r="C1073" s="2" t="s">
        <v>36</v>
      </c>
      <c r="D1073" s="2" t="s">
        <v>37</v>
      </c>
      <c r="E1073" s="2" t="s">
        <v>1423</v>
      </c>
      <c r="F1073" s="2" t="s">
        <v>21</v>
      </c>
      <c r="G1073" s="3" t="str">
        <f t="shared" si="1"/>
        <v>Pending evaluation</v>
      </c>
      <c r="H1073" s="4"/>
    </row>
    <row r="1074" ht="15.75" customHeight="1">
      <c r="A1074" s="2" t="s">
        <v>1879</v>
      </c>
      <c r="B1074" s="2" t="s">
        <v>45</v>
      </c>
      <c r="C1074" s="2" t="s">
        <v>36</v>
      </c>
      <c r="D1074" s="2" t="s">
        <v>37</v>
      </c>
      <c r="E1074" s="2" t="s">
        <v>1423</v>
      </c>
      <c r="F1074" s="2" t="s">
        <v>21</v>
      </c>
      <c r="G1074" s="3" t="str">
        <f t="shared" si="1"/>
        <v>Pending evaluation</v>
      </c>
      <c r="H1074" s="4"/>
    </row>
    <row r="1075" ht="15.75" customHeight="1">
      <c r="A1075" s="2" t="s">
        <v>1880</v>
      </c>
      <c r="B1075" s="2" t="s">
        <v>45</v>
      </c>
      <c r="C1075" s="2" t="s">
        <v>36</v>
      </c>
      <c r="D1075" s="2" t="s">
        <v>37</v>
      </c>
      <c r="E1075" s="2" t="s">
        <v>1423</v>
      </c>
      <c r="F1075" s="2" t="s">
        <v>21</v>
      </c>
      <c r="G1075" s="3" t="str">
        <f t="shared" si="1"/>
        <v>Pending evaluation</v>
      </c>
      <c r="H1075" s="4"/>
    </row>
    <row r="1076" ht="15.75" customHeight="1">
      <c r="A1076" s="2" t="s">
        <v>1881</v>
      </c>
      <c r="B1076" s="2" t="s">
        <v>45</v>
      </c>
      <c r="C1076" s="2" t="s">
        <v>36</v>
      </c>
      <c r="D1076" s="2" t="s">
        <v>37</v>
      </c>
      <c r="E1076" s="2" t="s">
        <v>1423</v>
      </c>
      <c r="F1076" s="2" t="s">
        <v>21</v>
      </c>
      <c r="G1076" s="3" t="str">
        <f t="shared" si="1"/>
        <v>Pending evaluation</v>
      </c>
      <c r="H1076" s="4"/>
    </row>
    <row r="1077" ht="15.75" customHeight="1">
      <c r="A1077" s="2" t="s">
        <v>1882</v>
      </c>
      <c r="B1077" s="2" t="s">
        <v>45</v>
      </c>
      <c r="C1077" s="2" t="s">
        <v>36</v>
      </c>
      <c r="D1077" s="2" t="s">
        <v>37</v>
      </c>
      <c r="E1077" s="2" t="s">
        <v>1423</v>
      </c>
      <c r="F1077" s="2" t="s">
        <v>21</v>
      </c>
      <c r="G1077" s="3" t="str">
        <f t="shared" si="1"/>
        <v>Pending evaluation</v>
      </c>
      <c r="H1077" s="4"/>
    </row>
    <row r="1078" ht="15.75" customHeight="1">
      <c r="A1078" s="2" t="s">
        <v>1883</v>
      </c>
      <c r="B1078" s="2" t="s">
        <v>45</v>
      </c>
      <c r="C1078" s="2" t="s">
        <v>36</v>
      </c>
      <c r="D1078" s="2" t="s">
        <v>37</v>
      </c>
      <c r="E1078" s="2" t="s">
        <v>1423</v>
      </c>
      <c r="F1078" s="2" t="s">
        <v>21</v>
      </c>
      <c r="G1078" s="3" t="str">
        <f t="shared" si="1"/>
        <v>Pending evaluation</v>
      </c>
      <c r="H1078" s="4"/>
    </row>
    <row r="1079" ht="15.75" customHeight="1">
      <c r="A1079" s="2" t="s">
        <v>1884</v>
      </c>
      <c r="B1079" s="2" t="s">
        <v>45</v>
      </c>
      <c r="C1079" s="2" t="s">
        <v>36</v>
      </c>
      <c r="D1079" s="2" t="s">
        <v>37</v>
      </c>
      <c r="E1079" s="2" t="s">
        <v>1423</v>
      </c>
      <c r="F1079" s="2" t="s">
        <v>21</v>
      </c>
      <c r="G1079" s="3" t="str">
        <f t="shared" si="1"/>
        <v>Pending evaluation</v>
      </c>
      <c r="H1079" s="4"/>
    </row>
    <row r="1080" ht="15.75" customHeight="1">
      <c r="A1080" s="2" t="s">
        <v>1885</v>
      </c>
      <c r="B1080" s="2" t="s">
        <v>45</v>
      </c>
      <c r="C1080" s="2" t="s">
        <v>36</v>
      </c>
      <c r="D1080" s="2" t="s">
        <v>37</v>
      </c>
      <c r="E1080" s="2" t="s">
        <v>1423</v>
      </c>
      <c r="F1080" s="2" t="s">
        <v>21</v>
      </c>
      <c r="G1080" s="3" t="str">
        <f t="shared" si="1"/>
        <v>Pending evaluation</v>
      </c>
      <c r="H1080" s="4"/>
    </row>
    <row r="1081" ht="15.75" customHeight="1">
      <c r="A1081" s="2" t="s">
        <v>1886</v>
      </c>
      <c r="B1081" s="2" t="s">
        <v>45</v>
      </c>
      <c r="C1081" s="2" t="s">
        <v>36</v>
      </c>
      <c r="D1081" s="2" t="s">
        <v>37</v>
      </c>
      <c r="E1081" s="2" t="s">
        <v>1423</v>
      </c>
      <c r="F1081" s="2" t="s">
        <v>21</v>
      </c>
      <c r="G1081" s="3" t="str">
        <f t="shared" si="1"/>
        <v>Pending evaluation</v>
      </c>
      <c r="H1081" s="4"/>
    </row>
    <row r="1082" ht="15.75" customHeight="1">
      <c r="A1082" s="2" t="s">
        <v>1887</v>
      </c>
      <c r="B1082" s="2" t="s">
        <v>45</v>
      </c>
      <c r="C1082" s="2" t="s">
        <v>36</v>
      </c>
      <c r="D1082" s="2" t="s">
        <v>37</v>
      </c>
      <c r="E1082" s="2" t="s">
        <v>1423</v>
      </c>
      <c r="F1082" s="2" t="s">
        <v>21</v>
      </c>
      <c r="G1082" s="3" t="str">
        <f t="shared" si="1"/>
        <v>Pending evaluation</v>
      </c>
      <c r="H1082" s="4"/>
    </row>
    <row r="1083" ht="15.75" customHeight="1">
      <c r="A1083" s="2" t="s">
        <v>1888</v>
      </c>
      <c r="B1083" s="2" t="s">
        <v>45</v>
      </c>
      <c r="C1083" s="2" t="s">
        <v>36</v>
      </c>
      <c r="D1083" s="2" t="s">
        <v>37</v>
      </c>
      <c r="E1083" s="2" t="s">
        <v>1423</v>
      </c>
      <c r="F1083" s="2" t="s">
        <v>21</v>
      </c>
      <c r="G1083" s="3" t="str">
        <f t="shared" si="1"/>
        <v>Pending evaluation</v>
      </c>
      <c r="H1083" s="4"/>
    </row>
    <row r="1084" ht="15.75" customHeight="1">
      <c r="A1084" s="2" t="s">
        <v>1889</v>
      </c>
      <c r="B1084" s="2" t="s">
        <v>45</v>
      </c>
      <c r="C1084" s="2" t="s">
        <v>36</v>
      </c>
      <c r="D1084" s="2" t="s">
        <v>37</v>
      </c>
      <c r="E1084" s="2" t="s">
        <v>1423</v>
      </c>
      <c r="F1084" s="2" t="s">
        <v>21</v>
      </c>
      <c r="G1084" s="3" t="str">
        <f t="shared" si="1"/>
        <v>Pending evaluation</v>
      </c>
      <c r="H1084" s="4"/>
    </row>
    <row r="1085" ht="15.75" customHeight="1">
      <c r="A1085" s="2" t="s">
        <v>1890</v>
      </c>
      <c r="B1085" s="2" t="s">
        <v>45</v>
      </c>
      <c r="C1085" s="2" t="s">
        <v>36</v>
      </c>
      <c r="D1085" s="2" t="s">
        <v>37</v>
      </c>
      <c r="E1085" s="2" t="s">
        <v>1423</v>
      </c>
      <c r="F1085" s="2" t="s">
        <v>21</v>
      </c>
      <c r="G1085" s="3" t="str">
        <f t="shared" si="1"/>
        <v>Pending evaluation</v>
      </c>
      <c r="H1085" s="4"/>
    </row>
    <row r="1086" ht="15.75" customHeight="1">
      <c r="A1086" s="2" t="s">
        <v>1891</v>
      </c>
      <c r="B1086" s="2" t="s">
        <v>45</v>
      </c>
      <c r="C1086" s="2" t="s">
        <v>36</v>
      </c>
      <c r="D1086" s="2" t="s">
        <v>37</v>
      </c>
      <c r="E1086" s="2" t="s">
        <v>1423</v>
      </c>
      <c r="F1086" s="2" t="s">
        <v>21</v>
      </c>
      <c r="G1086" s="3" t="str">
        <f t="shared" si="1"/>
        <v>Pending evaluation</v>
      </c>
      <c r="H1086" s="4"/>
    </row>
    <row r="1087" ht="15.75" customHeight="1">
      <c r="A1087" s="2" t="s">
        <v>1892</v>
      </c>
      <c r="B1087" s="2" t="s">
        <v>45</v>
      </c>
      <c r="C1087" s="2" t="s">
        <v>36</v>
      </c>
      <c r="D1087" s="2" t="s">
        <v>37</v>
      </c>
      <c r="E1087" s="2" t="s">
        <v>1423</v>
      </c>
      <c r="F1087" s="2" t="s">
        <v>21</v>
      </c>
      <c r="G1087" s="3" t="str">
        <f t="shared" si="1"/>
        <v>Pending evaluation</v>
      </c>
      <c r="H1087" s="4"/>
    </row>
    <row r="1088" ht="15.75" customHeight="1">
      <c r="A1088" s="2" t="s">
        <v>1893</v>
      </c>
      <c r="B1088" s="2" t="s">
        <v>45</v>
      </c>
      <c r="C1088" s="2" t="s">
        <v>36</v>
      </c>
      <c r="D1088" s="2" t="s">
        <v>37</v>
      </c>
      <c r="E1088" s="2" t="s">
        <v>1423</v>
      </c>
      <c r="F1088" s="2" t="s">
        <v>21</v>
      </c>
      <c r="G1088" s="3" t="str">
        <f t="shared" si="1"/>
        <v>Pending evaluation</v>
      </c>
      <c r="H1088" s="4"/>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20.0"/>
    <col customWidth="1" min="3" max="26" width="8.71"/>
  </cols>
  <sheetData>
    <row r="1">
      <c r="A1" s="5" t="s">
        <v>15</v>
      </c>
    </row>
    <row r="2">
      <c r="A2" s="6" t="s">
        <v>18</v>
      </c>
      <c r="B2" s="7">
        <f>COUNTA('All Findings'!A2:A1088)</f>
        <v>1087</v>
      </c>
    </row>
    <row r="3">
      <c r="A3" s="6" t="s">
        <v>35</v>
      </c>
      <c r="B3" s="7">
        <f>COUNTIF('All Findings'!G2:G1088,"P1 - Immediate")</f>
        <v>1</v>
      </c>
    </row>
    <row r="4">
      <c r="A4" s="6" t="s">
        <v>42</v>
      </c>
      <c r="B4" s="7">
        <f>COUNTIF('All Findings'!G2:G1088,"P2 - This week")</f>
        <v>461</v>
      </c>
    </row>
    <row r="5">
      <c r="A5" s="6" t="s">
        <v>46</v>
      </c>
      <c r="B5" s="7">
        <f>COUNTIF('All Findings'!G2:G1088,"P2 - This week (elevated: in KEV)")</f>
        <v>1</v>
      </c>
    </row>
    <row r="6">
      <c r="A6" s="6" t="s">
        <v>50</v>
      </c>
      <c r="B6" s="7">
        <f>COUNTIF('All Findings'!G2:G1088,"P3 - Backlog")</f>
        <v>335</v>
      </c>
    </row>
    <row r="7">
      <c r="A7" s="6" t="s">
        <v>54</v>
      </c>
      <c r="B7" s="7">
        <f>COUNTIF('All Findings'!G2:G1088,"Pending evaluation")</f>
        <v>289</v>
      </c>
    </row>
    <row r="9">
      <c r="A9" s="8" t="s">
        <v>58</v>
      </c>
    </row>
    <row r="10" ht="45.0" customHeight="1">
      <c r="A10" s="7" t="s">
        <v>8</v>
      </c>
      <c r="B10" s="9" t="s">
        <v>62</v>
      </c>
    </row>
    <row r="12">
      <c r="A12" s="8" t="s">
        <v>66</v>
      </c>
    </row>
    <row r="13" ht="75.0" customHeight="1">
      <c r="A13" s="9" t="s">
        <v>68</v>
      </c>
    </row>
    <row r="15">
      <c r="A15" s="8" t="s">
        <v>70</v>
      </c>
    </row>
    <row r="16" ht="75.0" customHeight="1">
      <c r="A16" s="9" t="s">
        <v>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0:C10"/>
    <mergeCell ref="A13:C13"/>
    <mergeCell ref="A16:C16"/>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2026-09-17T05:16:09Z</dcterms:created>
  <dc:creator>openpyxl</dc:creator>
</cp:coreProperties>
</file>

<file path=docProps/custom.xml><?xml version="1.0" encoding="utf-8"?>
<Properties xmlns="http://schemas.openxmlformats.org/officeDocument/2006/custom-properties" xmlns:vt="http://schemas.openxmlformats.org/officeDocument/2006/docPropsVTypes"/>
</file>